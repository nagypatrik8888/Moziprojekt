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45ab5cd3ddb4aef" /></Relationships>
</file>

<file path=xl/workbook.xml><?xml version="1.0" encoding="utf-8"?>
<x:workbook xmlns:x="http://schemas.openxmlformats.org/spreadsheetml/2006/main">
  <x:sheets>
    <x:sheet xmlns:r="http://schemas.openxmlformats.org/officeDocument/2006/relationships" name="Test Cases" sheetId="1" r:id="R8b9f891f27e64ebe"/>
    <x:sheet xmlns:r="http://schemas.openxmlformats.org/officeDocument/2006/relationships" name="Summary" sheetId="2" r:id="R2284a821215a4236"/>
    <x:sheet xmlns:r="http://schemas.openxmlformats.org/officeDocument/2006/relationships" name="Lists" sheetId="3" r:id="Rd3f96cf8a98d4ed6"/>
  </x:sheets>
</x:workbook>
</file>

<file path=xl/sharedStrings.xml><?xml version="1.0" encoding="utf-8"?>
<x:sst xmlns:x="http://schemas.openxmlformats.org/spreadsheetml/2006/main">
  <x:si>
    <x:t xml:space="preserve">TC ID</x:t>
  </x:si>
  <x:si>
    <x:t xml:space="preserve">Title</x:t>
  </x:si>
  <x:si>
    <x:t xml:space="preserve">Module</x:t>
  </x:si>
  <x:si>
    <x:t xml:space="preserve">Interface</x:t>
  </x:si>
  <x:si>
    <x:t xml:space="preserve">Route / Endpoint</x:t>
  </x:si>
  <x:si>
    <x:t xml:space="preserve">Method</x:t>
  </x:si>
  <x:si>
    <x:t xml:space="preserve">Auth / Role</x:t>
  </x:si>
  <x:si>
    <x:t xml:space="preserve">Preconditions</x:t>
  </x:si>
  <x:si>
    <x:t xml:space="preserve">Test Data</x:t>
  </x:si>
  <x:si>
    <x:t xml:space="preserve">Steps</x:t>
  </x:si>
  <x:si>
    <x:t xml:space="preserve">Expected Result</x:t>
  </x:si>
  <x:si>
    <x:t xml:space="preserve">Actual Result</x:t>
  </x:si>
  <x:si>
    <x:t xml:space="preserve">Status</x:t>
  </x:si>
  <x:si>
    <x:t xml:space="preserve">Priority</x:t>
  </x:si>
  <x:si>
    <x:t xml:space="preserve">Severity</x:t>
  </x:si>
  <x:si>
    <x:t xml:space="preserve">Tester</x:t>
  </x:si>
  <x:si>
    <x:t xml:space="preserve">Test Date</x:t>
  </x:si>
  <x:si>
    <x:t xml:space="preserve">Notes</x:t>
  </x:si>
  <x:si>
    <x:t xml:space="preserve">TC-001</x:t>
  </x:si>
  <x:si>
    <x:t xml:space="preserve">Home page loads (HTML)</x:t>
  </x:si>
  <x:si>
    <x:t xml:space="preserve">Public Pages</x:t>
  </x:si>
  <x:si>
    <x:t xml:space="preserve">UI</x:t>
  </x:si>
  <x:si>
    <x:t xml:space="preserve">/</x:t>
  </x:si>
  <x:si>
    <x:t xml:space="preserve">GET</x:t>
  </x:si>
  <x:si>
    <x:t xml:space="preserve">Guest</x:t>
  </x:si>
  <x:si>
    <x:t xml:space="preserve">App is running; browser cache cleared (optional).</x:t>
  </x:si>
  <x:si>
    <x:t xml:space="preserve">-</x:t>
  </x:si>
  <x:si>
    <x:t xml:space="preserve">1. Open the base URL in a browser.
2. Observe the page content and console errors.</x:t>
  </x:si>
  <x:si>
    <x:t xml:space="preserve">Home page is displayed successfully with no server error (no 5xx) and no blocking console errors.</x:t>
  </x:si>
  <x:si>
    <x:t xml:space="preserve">Medium</x:t>
  </x:si>
  <x:si>
    <x:t xml:space="preserve">Minor</x:t>
  </x:si>
  <x:si>
    <x:t xml:space="preserve">TC-002</x:t>
  </x:si>
  <x:si>
    <x:t xml:space="preserve">Home route returns JSON when Accept: application/json</x:t>
  </x:si>
  <x:si>
    <x:t xml:space="preserve">API</x:t>
  </x:si>
  <x:si>
    <x:t xml:space="preserve">User</x:t>
  </x:si>
  <x:si>
    <x:t xml:space="preserve">User is authenticated (session cookie) OR test as guest to confirm user=null behavior.</x:t>
  </x:si>
  <x:si>
    <x:t xml:space="preserve">Headers: Accept: application/json</x:t>
  </x:si>
  <x:si>
    <x:t xml:space="preserve">1. Send GET / with header Accept: application/json.
2. Observe JSON response.</x:t>
  </x:si>
  <x:si>
    <x:t xml:space="preserve">Response is JSON with message 'Already authenticated' and includes 'user' (authenticated user object or null if not logged in).</x:t>
  </x:si>
  <x:si>
    <x:t xml:space="preserve">TC-003</x:t>
  </x:si>
  <x:si>
    <x:t xml:space="preserve">Movies page view loads</x:t>
  </x:si>
  <x:si>
    <x:t xml:space="preserve">/movies</x:t>
  </x:si>
  <x:si>
    <x:t xml:space="preserve">App is running.</x:t>
  </x:si>
  <x:si>
    <x:t xml:space="preserve">1. Navigate to /movies.
2. Verify UI renders movie list placeholder/loading.</x:t>
  </x:si>
  <x:si>
    <x:t xml:space="preserve">Movies page loads (200) and UI renders without error.</x:t>
  </x:si>
  <x:si>
    <x:t xml:space="preserve">TC-004</x:t>
  </x:si>
  <x:si>
    <x:t xml:space="preserve">About page view loads</x:t>
  </x:si>
  <x:si>
    <x:t xml:space="preserve">/about</x:t>
  </x:si>
  <x:si>
    <x:t xml:space="preserve">1. Navigate to /about.</x:t>
  </x:si>
  <x:si>
    <x:t xml:space="preserve">About page loads (200) and displays expected content.</x:t>
  </x:si>
  <x:si>
    <x:t xml:space="preserve">TC-005</x:t>
  </x:si>
  <x:si>
    <x:t xml:space="preserve">Login page view loads</x:t>
  </x:si>
  <x:si>
    <x:t xml:space="preserve">Auth</x:t>
  </x:si>
  <x:si>
    <x:t xml:space="preserve">/login</x:t>
  </x:si>
  <x:si>
    <x:t xml:space="preserve">1. Navigate to /login.</x:t>
  </x:si>
  <x:si>
    <x:t xml:space="preserve">Login page loads (200) and login form is visible.</x:t>
  </x:si>
  <x:si>
    <x:t xml:space="preserve">High</x:t>
  </x:si>
  <x:si>
    <x:t xml:space="preserve">Major</x:t>
  </x:si>
  <x:si>
    <x:t xml:space="preserve">TC-006</x:t>
  </x:si>
  <x:si>
    <x:t xml:space="preserve">Bookings page requires authentication</x:t>
  </x:si>
  <x:si>
    <x:t xml:space="preserve">Bookings</x:t>
  </x:si>
  <x:si>
    <x:t xml:space="preserve">/bookings</x:t>
  </x:si>
  <x:si>
    <x:t xml:space="preserve">User is NOT logged in.</x:t>
  </x:si>
  <x:si>
    <x:t xml:space="preserve">1. Navigate to /bookings as guest.
2. Observe redirect/response.</x:t>
  </x:si>
  <x:si>
    <x:t xml:space="preserve">User is not allowed to access bookings; app redirects to login or returns 401/403 depending on configuration.</x:t>
  </x:si>
  <x:si>
    <x:t xml:space="preserve">TC-007</x:t>
  </x:si>
  <x:si>
    <x:t xml:space="preserve">Profile page requires authentication</x:t>
  </x:si>
  <x:si>
    <x:t xml:space="preserve">Profile</x:t>
  </x:si>
  <x:si>
    <x:t xml:space="preserve">/profile</x:t>
  </x:si>
  <x:si>
    <x:t xml:space="preserve">1. Navigate to /profile as guest.</x:t>
  </x:si>
  <x:si>
    <x:t xml:space="preserve">User is redirected to login or receives 401/403.</x:t>
  </x:si>
  <x:si>
    <x:t xml:space="preserve">TC-008</x:t>
  </x:si>
  <x:si>
    <x:t xml:space="preserve">Admin page requires authentication (UI route)</x:t>
  </x:si>
  <x:si>
    <x:t xml:space="preserve">Admin UI</x:t>
  </x:si>
  <x:si>
    <x:t xml:space="preserve">/admin</x:t>
  </x:si>
  <x:si>
    <x:t xml:space="preserve">1. Navigate to /admin as guest.</x:t>
  </x:si>
  <x:si>
    <x:t xml:space="preserve">User is redirected to login or receives 401/403. (Note: UI route is only protected by auth middleware, not IsAdmin.)</x:t>
  </x:si>
  <x:si>
    <x:t xml:space="preserve">TC-009</x:t>
  </x:si>
  <x:si>
    <x:t xml:space="preserve">User registration succeeds with valid data</x:t>
  </x:si>
  <x:si>
    <x:t xml:space="preserve">/register</x:t>
  </x:si>
  <x:si>
    <x:t xml:space="preserve">POST</x:t>
  </x:si>
  <x:si>
    <x:t xml:space="preserve">Email is not yet registered.</x:t>
  </x:si>
  <x:si>
    <x:t xml:space="preserve">name, email, password, password_confirmation (matching)</x:t>
  </x:si>
  <x:si>
    <x:t xml:space="preserve">1. Submit POST /register with valid form-data.
2. Verify response and session cookies.
3. Call GET /api/user (auth) or open a protected page.</x:t>
  </x:si>
  <x:si>
    <x:t xml:space="preserve">Registration succeeds; user is created; user becomes authenticated (session cookie set).</x:t>
  </x:si>
  <x:si>
    <x:t xml:space="preserve">TC-010</x:t>
  </x:si>
  <x:si>
    <x:t xml:space="preserve">User registration fails with duplicate email</x:t>
  </x:si>
  <x:si>
    <x:t xml:space="preserve">A user already exists with the email.</x:t>
  </x:si>
  <x:si>
    <x:t xml:space="preserve">Use existing email; valid password.</x:t>
  </x:si>
  <x:si>
    <x:t xml:space="preserve">1. Submit POST /register with an already used email.
2. Observe response.</x:t>
  </x:si>
  <x:si>
    <x:t xml:space="preserve">Request fails with validation error (typically 422) indicating email already taken; no new user created.</x:t>
  </x:si>
  <x:si>
    <x:t xml:space="preserve">TC-011</x:t>
  </x:si>
  <x:si>
    <x:t xml:space="preserve">Login succeeds with valid credentials</x:t>
  </x:si>
  <x:si>
    <x:t xml:space="preserve">User exists with known credentials.</x:t>
  </x:si>
  <x:si>
    <x:t xml:space="preserve">email, password</x:t>
  </x:si>
  <x:si>
    <x:t xml:space="preserve">1. Submit POST /login with valid credentials.
2. Verify session cookies.
3. Call GET /api/user.</x:t>
  </x:si>
  <x:si>
    <x:t xml:space="preserve">Login succeeds; session cookie set; /api/user returns current user data.</x:t>
  </x:si>
  <x:si>
    <x:t xml:space="preserve">TC-012</x:t>
  </x:si>
  <x:si>
    <x:t xml:space="preserve">Login fails with invalid password</x:t>
  </x:si>
  <x:si>
    <x:t xml:space="preserve">User exists.</x:t>
  </x:si>
  <x:si>
    <x:t xml:space="preserve">email valid, password invalid</x:t>
  </x:si>
  <x:si>
    <x:t xml:space="preserve">1. Submit POST /login with incorrect password.
2. Observe response.</x:t>
  </x:si>
  <x:si>
    <x:t xml:space="preserve">Login fails (typically 422/401); no authenticated session is created.</x:t>
  </x:si>
  <x:si>
    <x:t xml:space="preserve">TC-013</x:t>
  </x:si>
  <x:si>
    <x:t xml:space="preserve">API user endpoint requires Sanctum auth</x:t>
  </x:si>
  <x:si>
    <x:t xml:space="preserve">/api/user</x:t>
  </x:si>
  <x:si>
    <x:t xml:space="preserve">User is NOT authenticated.</x:t>
  </x:si>
  <x:si>
    <x:t xml:space="preserve">1. Call GET /api/user as guest.
2. Observe response.</x:t>
  </x:si>
  <x:si>
    <x:t xml:space="preserve">Request is rejected (401) because auth:sanctum is required.</x:t>
  </x:si>
  <x:si>
    <x:t xml:space="preserve">TC-014</x:t>
  </x:si>
  <x:si>
    <x:t xml:space="preserve">API user endpoint returns frontend user data when authenticated</x:t>
  </x:si>
  <x:si>
    <x:t xml:space="preserve">User is authenticated via session/Sanctum.</x:t>
  </x:si>
  <x:si>
    <x:t xml:space="preserve">1. Login.
2. Call GET /api/user.
3. Inspect response.</x:t>
  </x:si>
  <x:si>
    <x:t xml:space="preserve">Response contains 'user' object with fields returned by get_data_for_frontend().</x:t>
  </x:si>
  <x:si>
    <x:t xml:space="preserve">TC-015</x:t>
  </x:si>
  <x:si>
    <x:t xml:space="preserve">List movies returns movies and genres (schema)</x:t>
  </x:si>
  <x:si>
    <x:t xml:space="preserve">Movies</x:t>
  </x:si>
  <x:si>
    <x:t xml:space="preserve">/api/movies</x:t>
  </x:si>
  <x:si>
    <x:t xml:space="preserve">Database has at least 1 movie and 1 genre.</x:t>
  </x:si>
  <x:si>
    <x:t xml:space="preserve">1. Call GET /api/movies.
2. Verify status code and Content-Type.
3. Validate JSON structure and key fields.</x:t>
  </x:si>
  <x:si>
    <x:t xml:space="preserve">200 OK; Content-Type includes application/json; JSON has keys 'movies' and 'genres'. Movies is a non-empty array and each movie has required fields and types.</x:t>
  </x:si>
  <x:si>
    <x:t xml:space="preserve">TC-016</x:t>
  </x:si>
  <x:si>
    <x:t xml:space="preserve">Get single movie returns expected payload</x:t>
  </x:si>
  <x:si>
    <x:t xml:space="preserve">/api/movies/{movie_id}</x:t>
  </x:si>
  <x:si>
    <x:t xml:space="preserve">A movie exists (pick a valid movie_id).</x:t>
  </x:si>
  <x:si>
    <x:t xml:space="preserve">movie_id = existing id</x:t>
  </x:si>
  <x:si>
    <x:t xml:space="preserve">1. Call GET /api/movies/{movie_id}.
2. Verify response fields match the requested movie.</x:t>
  </x:si>
  <x:si>
    <x:t xml:space="preserve">200 OK; response contains details for the specified movie (id/title etc.) and any related data used by frontend.</x:t>
  </x:si>
  <x:si>
    <x:t xml:space="preserve">TC-017</x:t>
  </x:si>
  <x:si>
    <x:t xml:space="preserve">Get single movie returns 404 for non-existent id</x:t>
  </x:si>
  <x:si>
    <x:t xml:space="preserve">Choose an id that does not exist.</x:t>
  </x:si>
  <x:si>
    <x:t xml:space="preserve">movie_id = non-existent id</x:t>
  </x:si>
  <x:si>
    <x:t xml:space="preserve">1. Call GET /api/movies/{movie_id} with a non-existent id.
2. Observe response.</x:t>
  </x:si>
  <x:si>
    <x:t xml:space="preserve">404 Not Found (or equivalent error) and no movie data returned.</x:t>
  </x:si>
  <x:si>
    <x:t xml:space="preserve">TC-018</x:t>
  </x:si>
  <x:si>
    <x:t xml:space="preserve">Create ticket order requires authentication</x:t>
  </x:si>
  <x:si>
    <x:t xml:space="preserve">Ticket Orders</x:t>
  </x:si>
  <x:si>
    <x:t xml:space="preserve">/api/ticket_orders</x:t>
  </x:si>
  <x:si>
    <x:t xml:space="preserve">screening_id, seats[0][seat_id], seats[0][price_id]</x:t>
  </x:si>
  <x:si>
    <x:t xml:space="preserve">1. Call POST /api/ticket_orders without authentication.
2. Observe response.</x:t>
  </x:si>
  <x:si>
    <x:t xml:space="preserve">Request is rejected (401/403) because auth middleware is required.</x:t>
  </x:si>
  <x:si>
    <x:t xml:space="preserve">TC-019</x:t>
  </x:si>
  <x:si>
    <x:t xml:space="preserve">Create ticket order succeeds with valid data</x:t>
  </x:si>
  <x:si>
    <x:t xml:space="preserve">User is logged in; screening exists; seat and price exist and seat is available.</x:t>
  </x:si>
  <x:si>
    <x:t xml:space="preserve">screening_id = existing; seats[] with valid seat_id + price_id</x:t>
  </x:si>
  <x:si>
    <x:t xml:space="preserve">1. Login as user.
2. Call POST /api/ticket_orders with valid data.
3. Verify response.
4. Call GET /api/profile/ticket_orders and confirm order appears.</x:t>
  </x:si>
  <x:si>
    <x:t xml:space="preserve">Order is created successfully; response indicates success (200/201) and order appears in profile ticket orders.</x:t>
  </x:si>
  <x:si>
    <x:t xml:space="preserve">TC-020</x:t>
  </x:si>
  <x:si>
    <x:t xml:space="preserve">Create ticket order fails when required fields missing</x:t>
  </x:si>
  <x:si>
    <x:t xml:space="preserve">User is logged in.</x:t>
  </x:si>
  <x:si>
    <x:t xml:space="preserve">Omit screening_id or seats[]</x:t>
  </x:si>
  <x:si>
    <x:t xml:space="preserve">1. Login.
2. Call POST /api/ticket_orders with missing screening_id or seats.
3. Observe response.</x:t>
  </x:si>
  <x:si>
    <x:t xml:space="preserve">Validation error (typically 422) describing missing/invalid fields; no order created.</x:t>
  </x:si>
  <x:si>
    <x:t xml:space="preserve">TC-021</x:t>
  </x:si>
  <x:si>
    <x:t xml:space="preserve">Create ticket order fails when seat already booked</x:t>
  </x:si>
  <x:si>
    <x:t xml:space="preserve">User is logged in; pick a seat already ordered for the same screening.</x:t>
  </x:si>
  <x:si>
    <x:t xml:space="preserve">screening_id valid; seat_id already reserved</x:t>
  </x:si>
  <x:si>
    <x:t xml:space="preserve">1. Ensure seat is already reserved.
2. Call POST /api/ticket_orders with the same seat.
3. Observe response.</x:t>
  </x:si>
  <x:si>
    <x:t xml:space="preserve">Request is rejected (422/409) with a clear error message; duplicate seat booking is prevented.</x:t>
  </x:si>
  <x:si>
    <x:t xml:space="preserve">TC-022</x:t>
  </x:si>
  <x:si>
    <x:t xml:space="preserve">List all ticket orders requires authentication</x:t>
  </x:si>
  <x:si>
    <x:t xml:space="preserve">1. Call GET /api/ticket_orders as guest.</x:t>
  </x:si>
  <x:si>
    <x:t xml:space="preserve">Request is rejected (401/403).</x:t>
  </x:si>
  <x:si>
    <x:t xml:space="preserve">TC-023</x:t>
  </x:si>
  <x:si>
    <x:t xml:space="preserve">List all ticket orders returns data for authenticated user (security review)</x:t>
  </x:si>
  <x:si>
    <x:t xml:space="preserve">1. Login as non-admin user.
2. Call GET /api/ticket_orders.
3. Review returned dataset scope.</x:t>
  </x:si>
  <x:si>
    <x:t xml:space="preserve">Currently route is only protected by auth (TODO comment says admin-only). If non-admin can see all orders, log as a security defect.</x:t>
  </x:si>
  <x:si>
    <x:t xml:space="preserve">TC-024</x:t>
  </x:si>
  <x:si>
    <x:t xml:space="preserve">Profile ticket orders endpoint returns only current user's orders</x:t>
  </x:si>
  <x:si>
    <x:t xml:space="preserve">/api/profile/ticket_orders</x:t>
  </x:si>
  <x:si>
    <x:t xml:space="preserve">User is logged in and has at least one order.</x:t>
  </x:si>
  <x:si>
    <x:t xml:space="preserve">1. Login.
2. Call GET /api/profile/ticket_orders.
3. Verify orders belong to current user only.</x:t>
  </x:si>
  <x:si>
    <x:t xml:space="preserve">200 OK; response contains only ticket orders for the authenticated user.</x:t>
  </x:si>
  <x:si>
    <x:t xml:space="preserve">TC-025</x:t>
  </x:si>
  <x:si>
    <x:t xml:space="preserve">Profile ticket orders requires authentication</x:t>
  </x:si>
  <x:si>
    <x:t xml:space="preserve">1. Call GET /api/profile/ticket_orders as guest.</x:t>
  </x:si>
  <x:si>
    <x:t xml:space="preserve">TC-026</x:t>
  </x:si>
  <x:si>
    <x:t xml:space="preserve">Admin endpoints reject non-admin user</x:t>
  </x:si>
  <x:si>
    <x:t xml:space="preserve">Admin API</x:t>
  </x:si>
  <x:si>
    <x:t xml:space="preserve">/api/admin/*</x:t>
  </x:si>
  <x:si>
    <x:t xml:space="preserve">Login as normal (non-admin) user.</x:t>
  </x:si>
  <x:si>
    <x:t xml:space="preserve">1. Login as non-admin.
2. Call GET /api/admin/users.
3. Observe response.</x:t>
  </x:si>
  <x:si>
    <x:t xml:space="preserve">Request is rejected (403) by IsAdmin middleware.</x:t>
  </x:si>
  <x:si>
    <x:t xml:space="preserve">TC-027</x:t>
  </x:si>
  <x:si>
    <x:t xml:space="preserve">Admin endpoints reject guest</x:t>
  </x:si>
  <x:si>
    <x:t xml:space="preserve">Not logged in.</x:t>
  </x:si>
  <x:si>
    <x:t xml:space="preserve">1. Call GET /api/admin/users as guest.</x:t>
  </x:si>
  <x:si>
    <x:t xml:space="preserve">TC-028</x:t>
  </x:si>
  <x:si>
    <x:t xml:space="preserve">Admin: list users</x:t>
  </x:si>
  <x:si>
    <x:t xml:space="preserve">Admin Users</x:t>
  </x:si>
  <x:si>
    <x:t xml:space="preserve">/api/admin/users</x:t>
  </x:si>
  <x:si>
    <x:t xml:space="preserve">Admin</x:t>
  </x:si>
  <x:si>
    <x:t xml:space="preserve">Login as admin.</x:t>
  </x:si>
  <x:si>
    <x:t xml:space="preserve">1. Login as admin.
2. Call GET /api/admin/users.</x:t>
  </x:si>
  <x:si>
    <x:t xml:space="preserve">200 OK; returns list of users.</x:t>
  </x:si>
  <x:si>
    <x:t xml:space="preserve">TC-029</x:t>
  </x:si>
  <x:si>
    <x:t xml:space="preserve">Admin: create user succeeds</x:t>
  </x:si>
  <x:si>
    <x:t xml:space="preserve">Login as admin; email not in use.</x:t>
  </x:si>
  <x:si>
    <x:t xml:space="preserve">name, email, password, password_confirmation</x:t>
  </x:si>
  <x:si>
    <x:t xml:space="preserve">1. Login as admin.
2. POST /api/admin/users with valid data.
3. Verify user appears in GET /api/admin/users.</x:t>
  </x:si>
  <x:si>
    <x:t xml:space="preserve">User is created successfully; returned status indicates success and user is present in list.</x:t>
  </x:si>
  <x:si>
    <x:t xml:space="preserve">TC-030</x:t>
  </x:si>
  <x:si>
    <x:t xml:space="preserve">Admin: create user fails with duplicate email</x:t>
  </x:si>
  <x:si>
    <x:t xml:space="preserve">Login as admin; email already exists.</x:t>
  </x:si>
  <x:si>
    <x:t xml:space="preserve">Use existing email</x:t>
  </x:si>
  <x:si>
    <x:t xml:space="preserve">1. POST /api/admin/users with an existing email.
2. Observe response.</x:t>
  </x:si>
  <x:si>
    <x:t xml:space="preserve">Validation error (422); no duplicate user created.</x:t>
  </x:si>
  <x:si>
    <x:t xml:space="preserve">TC-031</x:t>
  </x:si>
  <x:si>
    <x:t xml:space="preserve">Admin: list films</x:t>
  </x:si>
  <x:si>
    <x:t xml:space="preserve">Admin Films</x:t>
  </x:si>
  <x:si>
    <x:t xml:space="preserve">/api/admin/films</x:t>
  </x:si>
  <x:si>
    <x:t xml:space="preserve">1. Login as admin.
2. Call GET /api/admin/films.</x:t>
  </x:si>
  <x:si>
    <x:t xml:space="preserve">200 OK; returns list of films/movies.</x:t>
  </x:si>
  <x:si>
    <x:t xml:space="preserve">TC-032</x:t>
  </x:si>
  <x:si>
    <x:t xml:space="preserve">Admin: create film succeeds with poster upload</x:t>
  </x:si>
  <x:si>
    <x:t xml:space="preserve">Login as admin; valid genre_id, language_id exist.</x:t>
  </x:si>
  <x:si>
    <x:t xml:space="preserve">multipart form-data including poster file + required fields</x:t>
  </x:si>
  <x:si>
    <x:t xml:space="preserve">1. Login as admin.
2. POST /api/admin/films with title, genre_id, release_date, rating, duration_min, description, language/language_id, and poster file.
3. Verify film appears in GET /api/admin/films.</x:t>
  </x:si>
  <x:si>
    <x:t xml:space="preserve">Film is created successfully; poster is stored; film appears in list.</x:t>
  </x:si>
  <x:si>
    <x:t xml:space="preserve">TC-033</x:t>
  </x:si>
  <x:si>
    <x:t xml:space="preserve">Admin: create film validation errors for missing fields</x:t>
  </x:si>
  <x:si>
    <x:t xml:space="preserve">Omit title or poster or invalid rating</x:t>
  </x:si>
  <x:si>
    <x:t xml:space="preserve">1. POST /api/admin/films with missing/invalid fields.
2. Observe response.</x:t>
  </x:si>
  <x:si>
    <x:t xml:space="preserve">Validation error (422) listing invalid/missing fields; no film created.</x:t>
  </x:si>
  <x:si>
    <x:t xml:space="preserve">TC-034</x:t>
  </x:si>
  <x:si>
    <x:t xml:space="preserve">Admin: update film succeeds (PUT /films/{movie_id})</x:t>
  </x:si>
  <x:si>
    <x:t xml:space="preserve">/api/admin/films/{movie_id}</x:t>
  </x:si>
  <x:si>
    <x:t xml:space="preserve">PUT</x:t>
  </x:si>
  <x:si>
    <x:t xml:space="preserve">Login as admin; film exists.</x:t>
  </x:si>
  <x:si>
    <x:t xml:space="preserve">movie_id valid; updated title/fields; optional poster</x:t>
  </x:si>
  <x:si>
    <x:t xml:space="preserve">1. Pick an existing movie_id.
2. Send PUT /api/admin/films/{movie_id} (or POST with _method=PUT) with updated fields.
3. Verify changes via GET /api/admin/films or public GET /api/movies/{id}.</x:t>
  </x:si>
  <x:si>
    <x:t xml:space="preserve">Film is updated successfully; modified fields are persisted.</x:t>
  </x:si>
  <x:si>
    <x:t xml:space="preserve">TC-035</x:t>
  </x:si>
  <x:si>
    <x:t xml:space="preserve">Admin: list screenings</x:t>
  </x:si>
  <x:si>
    <x:t xml:space="preserve">Admin Screenings</x:t>
  </x:si>
  <x:si>
    <x:t xml:space="preserve">/api/admin/screenings</x:t>
  </x:si>
  <x:si>
    <x:t xml:space="preserve">1. GET /api/admin/screenings.</x:t>
  </x:si>
  <x:si>
    <x:t xml:space="preserve">200 OK; returns list of screenings.</x:t>
  </x:si>
  <x:si>
    <x:t xml:space="preserve">TC-036</x:t>
  </x:si>
  <x:si>
    <x:t xml:space="preserve">Admin: create screening succeeds</x:t>
  </x:si>
  <x:si>
    <x:t xml:space="preserve">Login as admin; film_id and room_id exist.</x:t>
  </x:si>
  <x:si>
    <x:t xml:space="preserve">film_id, room_id, screening_date (YYYY-MM-DD), start_time (HH:MM:SS)</x:t>
  </x:si>
  <x:si>
    <x:t xml:space="preserve">1. POST /api/admin/screenings with valid data.
2. Verify screening appears in GET /api/admin/screenings.</x:t>
  </x:si>
  <x:si>
    <x:t xml:space="preserve">Screening is created successfully and visible in list.</x:t>
  </x:si>
  <x:si>
    <x:t xml:space="preserve">TC-037</x:t>
  </x:si>
  <x:si>
    <x:t xml:space="preserve">Admin: create screening validation error for invalid date/time</x:t>
  </x:si>
  <x:si>
    <x:t xml:space="preserve">Invalid screening_date or start_time</x:t>
  </x:si>
  <x:si>
    <x:t xml:space="preserve">1. POST /api/admin/screenings with invalid date or time.
2. Observe response.</x:t>
  </x:si>
  <x:si>
    <x:t xml:space="preserve">Validation error (422) for invalid format; no screening created.</x:t>
  </x:si>
  <x:si>
    <x:t xml:space="preserve">TC-038</x:t>
  </x:si>
  <x:si>
    <x:t xml:space="preserve">Admin: list languages</x:t>
  </x:si>
  <x:si>
    <x:t xml:space="preserve">Admin Reference Data</x:t>
  </x:si>
  <x:si>
    <x:t xml:space="preserve">/api/admin/languages</x:t>
  </x:si>
  <x:si>
    <x:t xml:space="preserve">1. GET /api/admin/languages.</x:t>
  </x:si>
  <x:si>
    <x:t xml:space="preserve">200 OK; returns list of languages.</x:t>
  </x:si>
  <x:si>
    <x:t xml:space="preserve">TC-039</x:t>
  </x:si>
  <x:si>
    <x:t xml:space="preserve">Admin: create language succeeds</x:t>
  </x:si>
  <x:si>
    <x:t xml:space="preserve">language name/code</x:t>
  </x:si>
  <x:si>
    <x:t xml:space="preserve">1. POST /api/admin/languages with valid data.
2. Verify in GET /api/admin/languages.</x:t>
  </x:si>
  <x:si>
    <x:t xml:space="preserve">Language is created successfully.</x:t>
  </x:si>
  <x:si>
    <x:t xml:space="preserve">TC-040</x:t>
  </x:si>
  <x:si>
    <x:t xml:space="preserve">Admin: update language succeeds</x:t>
  </x:si>
  <x:si>
    <x:t xml:space="preserve">/api/admin/languages/{language_id}</x:t>
  </x:si>
  <x:si>
    <x:t xml:space="preserve">Login as admin; language exists.</x:t>
  </x:si>
  <x:si>
    <x:t xml:space="preserve">language_id valid; updated fields</x:t>
  </x:si>
  <x:si>
    <x:t xml:space="preserve">1. PUT /api/admin/languages/{language_id} with updated values.
2. Verify in GET /api/admin/languages.</x:t>
  </x:si>
  <x:si>
    <x:t xml:space="preserve">Language is updated successfully.</x:t>
  </x:si>
  <x:si>
    <x:t xml:space="preserve">TC-041</x:t>
  </x:si>
  <x:si>
    <x:t xml:space="preserve">Admin: list genres</x:t>
  </x:si>
  <x:si>
    <x:t xml:space="preserve">/api/admin/genre</x:t>
  </x:si>
  <x:si>
    <x:t xml:space="preserve">1. GET /api/admin/genre.</x:t>
  </x:si>
  <x:si>
    <x:t xml:space="preserve">200 OK; returns list of genres.</x:t>
  </x:si>
  <x:si>
    <x:t xml:space="preserve">TC-042</x:t>
  </x:si>
  <x:si>
    <x:t xml:space="preserve">Admin: create genre succeeds</x:t>
  </x:si>
  <x:si>
    <x:t xml:space="preserve">genre name</x:t>
  </x:si>
  <x:si>
    <x:t xml:space="preserve">1. POST /api/admin/genre with valid genre_name.
2. Verify in GET /api/admin/genre.</x:t>
  </x:si>
  <x:si>
    <x:t xml:space="preserve">Genre is created successfully.</x:t>
  </x:si>
  <x:si>
    <x:t xml:space="preserve">TC-043</x:t>
  </x:si>
  <x:si>
    <x:t xml:space="preserve">Admin: update genre succeeds</x:t>
  </x:si>
  <x:si>
    <x:t xml:space="preserve">/api/admin/genre/{genre_id}</x:t>
  </x:si>
  <x:si>
    <x:t xml:space="preserve">Login as admin; genre exists.</x:t>
  </x:si>
  <x:si>
    <x:t xml:space="preserve">genre_id valid; updated values</x:t>
  </x:si>
  <x:si>
    <x:t xml:space="preserve">1. PUT /api/admin/genre/{genre_id} with updated values.
2. Verify in GET /api/admin/genre.</x:t>
  </x:si>
  <x:si>
    <x:t xml:space="preserve">Genre is updated successfully.</x:t>
  </x:si>
  <x:si>
    <x:t xml:space="preserve">TC-044</x:t>
  </x:si>
  <x:si>
    <x:t xml:space="preserve">Admin: list prices</x:t>
  </x:si>
  <x:si>
    <x:t xml:space="preserve">/api/admin/prices</x:t>
  </x:si>
  <x:si>
    <x:t xml:space="preserve">1. GET /api/admin/prices.</x:t>
  </x:si>
  <x:si>
    <x:t xml:space="preserve">200 OK; returns list of prices.</x:t>
  </x:si>
  <x:si>
    <x:t xml:space="preserve">TC-045</x:t>
  </x:si>
  <x:si>
    <x:t xml:space="preserve">Admin: create price succeeds</x:t>
  </x:si>
  <x:si>
    <x:t xml:space="preserve">price name/amount</x:t>
  </x:si>
  <x:si>
    <x:t xml:space="preserve">1. POST /api/admin/prices with valid data.
2. Verify in GET /api/admin/prices.</x:t>
  </x:si>
  <x:si>
    <x:t xml:space="preserve">Price is created successfully.</x:t>
  </x:si>
  <x:si>
    <x:t xml:space="preserve">TC-046</x:t>
  </x:si>
  <x:si>
    <x:t xml:space="preserve">Admin: update price succeeds</x:t>
  </x:si>
  <x:si>
    <x:t xml:space="preserve">/api/admin/prices/{price_id}</x:t>
  </x:si>
  <x:si>
    <x:t xml:space="preserve">Login as admin; price exists.</x:t>
  </x:si>
  <x:si>
    <x:t xml:space="preserve">price_id valid; updated values</x:t>
  </x:si>
  <x:si>
    <x:t xml:space="preserve">1. PUT /api/admin/prices/{price_id} with updated values.
2. Verify in GET /api/admin/prices.</x:t>
  </x:si>
  <x:si>
    <x:t xml:space="preserve">Price is updated successfully.</x:t>
  </x:si>
  <x:si>
    <x:t xml:space="preserve">TC-047</x:t>
  </x:si>
  <x:si>
    <x:t xml:space="preserve">Admin: list rooms</x:t>
  </x:si>
  <x:si>
    <x:t xml:space="preserve">/api/admin/rooms</x:t>
  </x:si>
  <x:si>
    <x:t xml:space="preserve">1. GET /api/admin/rooms.</x:t>
  </x:si>
  <x:si>
    <x:t xml:space="preserve">200 OK; returns list of rooms.</x:t>
  </x:si>
  <x:si>
    <x:t xml:space="preserve">TC-048</x:t>
  </x:si>
  <x:si>
    <x:t xml:space="preserve">Admin: create room succeeds</x:t>
  </x:si>
  <x:si>
    <x:t xml:space="preserve">room name/capacity/config</x:t>
  </x:si>
  <x:si>
    <x:t xml:space="preserve">1. POST /api/admin/rooms with valid data.
2. Verify in GET /api/admin/rooms.</x:t>
  </x:si>
  <x:si>
    <x:t xml:space="preserve">Room is created successfully.</x:t>
  </x:si>
  <x:si>
    <x:t xml:space="preserve">TC-049</x:t>
  </x:si>
  <x:si>
    <x:t xml:space="preserve">Admin: update room succeeds</x:t>
  </x:si>
  <x:si>
    <x:t xml:space="preserve">/api/admin/rooms/{room_id}</x:t>
  </x:si>
  <x:si>
    <x:t xml:space="preserve">Login as admin; room exists.</x:t>
  </x:si>
  <x:si>
    <x:t xml:space="preserve">room_id valid; updated values</x:t>
  </x:si>
  <x:si>
    <x:t xml:space="preserve">1. PUT /api/admin/rooms/{room_id} with updated values.
2. Verify in GET /api/admin/rooms.</x:t>
  </x:si>
  <x:si>
    <x:t xml:space="preserve">Room is updated successfully.</x:t>
  </x:si>
  <x:si>
    <x:t xml:space="preserve">TC-050</x:t>
  </x:si>
  <x:si>
    <x:t xml:space="preserve">Postman: POST /register</x:t>
  </x:si>
  <x:si>
    <x:t xml:space="preserve">Authentication</x:t>
  </x:si>
  <x:si>
    <x:t xml:space="preserve">Application is running. Postman environment configured. XSRF-TOKEN cookie available if X-XSRF-TOKEN header is used.</x:t>
  </x:si>
  <x:si>
    <x:t xml:space="preserve">name=Test elek3; email=tesst@gmail.com33; password=asdASD123!3; password_confirmation=asdASD123!3</x:t>
  </x:si>
  <x:si>
    <x:t xml:space="preserve">1. Send POST /register in Postman.
2. Headers: Content-Type: application/json; Accept: application/json; X-XSRF-TOKEN: {{XSRF}}.
3. Body (form-data): name=Test elek3; email=tesst@gmail.com33; password=asdASD123!3; password_confirmation=asdASD123!3.
4. Run the attached Postman tests.</x:t>
  </x:si>
  <x:si>
    <x:t xml:space="preserve">Request succeeds; XSRF-TOKEN cookie is read and stored into env var 'XSRF' for subsequent requests.</x:t>
  </x:si>
  <x:si>
    <x:t xml:space="preserve">TC-051</x:t>
  </x:si>
  <x:si>
    <x:t xml:space="preserve">Postman: GET /api/ticket_orders</x:t>
  </x:si>
  <x:si>
    <x:t xml:space="preserve">1. Send GET /api/ticket_orders in Postman.
2. Headers: -.
3. Body (form-data): -.
4. Run the attached Postman tests.</x:t>
  </x:si>
  <x:si>
    <x:t xml:space="preserve">TC-052</x:t>
  </x:si>
  <x:si>
    <x:t xml:space="preserve">Postman: POST /api/ticket_orders</x:t>
  </x:si>
  <x:si>
    <x:t xml:space="preserve">screening_id=20; seats[0][seat_id]=2; seats[0][price_id]=6</x:t>
  </x:si>
  <x:si>
    <x:t xml:space="preserve">1. Send POST /api/ticket_orders in Postman.
2. Headers: X-XSRF-TOKEN: {{XSRF}}.
3. Body (form-data): screening_id=20; seats[0][seat_id]=2; seats[0][price_id]=6.
4. Run the attached Postman tests.</x:t>
  </x:si>
  <x:si>
    <x:t xml:space="preserve">TC-053</x:t>
  </x:si>
  <x:si>
    <x:t xml:space="preserve">Postman: GET /api/movies/{movie_id}</x:t>
  </x:si>
  <x:si>
    <x:t xml:space="preserve">1. Send GET /api/movies/{movie_id} in Postman.
2. Headers: -.
3. Body (form-data): -.
4. Run the attached Postman tests.</x:t>
  </x:si>
  <x:si>
    <x:t xml:space="preserve">Postman assertions:
- Status code is 200
- Response time is under 1000ms
- Content-Type is application/json
- Response is valid JSON and has movie object
- Movie required fields exist and types are correct
- Screenings structure is valid
- Prices array contains valid entries
- Top-level response schema sanity check</x:t>
  </x:si>
  <x:si>
    <x:t xml:space="preserve">TC-054</x:t>
  </x:si>
  <x:si>
    <x:t xml:space="preserve">Postman: GET /api/movies</x:t>
  </x:si>
  <x:si>
    <x:t xml:space="preserve">1. Send GET /api/movies in Postman.
2. Headers: -.
3. Body (form-data): -.
4. Run the attached Postman tests.</x:t>
  </x:si>
  <x:si>
    <x:t xml:space="preserve">Postman assertions:
- Status code is 200
- Content-Type is application/json
- Response time is under 2000ms
- Response body is valid JSON with movies and genres
- Movies is an array and has at least one item
- Each movie has required fields with correct types
- Genres is an array of objects with genre_name</x:t>
  </x:si>
  <x:si>
    <x:t xml:space="preserve">TC-055</x:t>
  </x:si>
  <x:si>
    <x:t xml:space="preserve">Postman: POST /login</x:t>
  </x:si>
  <x:si>
    <x:t xml:space="preserve">email=tesst@gmail.com; password=asdASD123!</x:t>
  </x:si>
  <x:si>
    <x:t xml:space="preserve">1. Send POST /login in Postman.
2. Headers: Accept: application/json; Content-Type: application/json; X-XSRF-TOKEN: {{XSRF}}.
3. Body (form-data): email=tesst@gmail.com; password=asdASD123!.
4. Run the attached Postman tests.</x:t>
  </x:si>
  <x:si>
    <x:t xml:space="preserve">TC-056</x:t>
  </x:si>
  <x:si>
    <x:t xml:space="preserve">Postman: GET /api/profile/ticket_orders</x:t>
  </x:si>
  <x:si>
    <x:t xml:space="preserve">1. Send GET /api/profile/ticket_orders in Postman.
2. Headers: -.
3. Body (form-data): -.
4. Run the attached Postman tests.</x:t>
  </x:si>
  <x:si>
    <x:t xml:space="preserve">TC-057</x:t>
  </x:si>
  <x:si>
    <x:t xml:space="preserve">password=asdASD123!; email=tesst@gmail.com</x:t>
  </x:si>
  <x:si>
    <x:t xml:space="preserve">1. Send POST /login in Postman.
2. Headers: Accept: application/json; Content-Type: application/json; X-XSRF-TOKEN: {{XSRF}}.
3. Body (form-data): password=asdASD123!; email=tesst@gmail.com.
4. Run the attached Postman tests.</x:t>
  </x:si>
  <x:si>
    <x:t xml:space="preserve">TC-058</x:t>
  </x:si>
  <x:si>
    <x:t xml:space="preserve">Postman: GET /api/admin/users</x:t>
  </x:si>
  <x:si>
    <x:t xml:space="preserve">1. Send GET /api/admin/users in Postman.
2. Headers: -.
3. Body (form-data): -.
4. Run the attached Postman tests.</x:t>
  </x:si>
  <x:si>
    <x:t xml:space="preserve">TC-059</x:t>
  </x:si>
  <x:si>
    <x:t xml:space="preserve">Postman: GET /api/user</x:t>
  </x:si>
  <x:si>
    <x:t xml:space="preserve">User Profile</x:t>
  </x:si>
  <x:si>
    <x:t xml:space="preserve">1. Send GET /api/user in Postman.
2. Headers: -.
3. Body (form-data): -.
4. Run the attached Postman tests.</x:t>
  </x:si>
  <x:si>
    <x:t xml:space="preserve">TC-060</x:t>
  </x:si>
  <x:si>
    <x:t xml:space="preserve">Postman: GET /api/admin/films</x:t>
  </x:si>
  <x:si>
    <x:t xml:space="preserve">1. Send GET /api/admin/films in Postman.
2. Headers: -.
3. Body (form-data): -.
4. Run the attached Postman tests.</x:t>
  </x:si>
  <x:si>
    <x:t xml:space="preserve">TC-061</x:t>
  </x:si>
  <x:si>
    <x:t xml:space="preserve">Postman: GET /api/admin/screenings</x:t>
  </x:si>
  <x:si>
    <x:t xml:space="preserve">1. Send GET /api/admin/screenings in Postman.
2. Headers: -.
3. Body (form-data): -.
4. Run the attached Postman tests.</x:t>
  </x:si>
  <x:si>
    <x:t xml:space="preserve">TC-062</x:t>
  </x:si>
  <x:si>
    <x:t xml:space="preserve">Postman: POST /api/admin/films</x:t>
  </x:si>
  <x:si>
    <x:t xml:space="preserve">title=qwwerrgbhddhj; genre_id=2; release_date=2007-01-22; rating=3.5; duration_min=122; description=asdfghj; language=hun; language_id=1; poster=Képernyőkép 2026-02-28 104126.png</x:t>
  </x:si>
  <x:si>
    <x:t xml:space="preserve">1. Send POST /api/admin/films in Postman.
2. Headers: X-XSRF-TOKEN: {{XSRF}}.
3. Body (form-data): title=qwwerrgbhddhj; genre_id=2; release_date=2007-01-22; rating=3.5; duration_min=122; description=asdfghj; language=hun; language_id=1; poster=Képernyőkép 2026-02-28 104126.png.
4. Run the attached Postman tests.</x:t>
  </x:si>
  <x:si>
    <x:t xml:space="preserve">TC-063</x:t>
  </x:si>
  <x:si>
    <x:t xml:space="preserve">Postman: PUT /api/admin/films/{movie_id}</x:t>
  </x:si>
  <x:si>
    <x:t xml:space="preserve">title=Ezt updateljük; genre_id=2; release_date=2007-01-22; rating=3.5; duration_min=122; description=asdfghj; language=hun; language_id=1; poster=Képernyőkép 2026-02-28 104126.png; _method=PUT</x:t>
  </x:si>
  <x:si>
    <x:t xml:space="preserve">1. Send PUT /api/admin/films/{movie_id} in Postman.
2. Headers: X-XSRF-TOKEN: {{XSRF}}.
3. Body (form-data): title=Ezt updateljük; genre_id=2; release_date=2007-01-22; rating=3.5; duration_min=122; description=asdfghj; language=hun; language_id=1; poster=Képernyőkép 2026-02-28 104126.png; _method=PUT.
4. Run the attached Postman tests.</x:t>
  </x:si>
  <x:si>
    <x:t xml:space="preserve">TC-064</x:t>
  </x:si>
  <x:si>
    <x:t xml:space="preserve">Postman: POST /api/admin/users</x:t>
  </x:si>
  <x:si>
    <x:t xml:space="preserve">name=asd; email=asd@asd.hu; password=ASDasd123!; password_confirmation=ASDasd123!</x:t>
  </x:si>
  <x:si>
    <x:t xml:space="preserve">1. Send POST /api/admin/users in Postman.
2. Headers: X-XSRF-TOKEN: {{XSRF}}.
3. Body (form-data): name=asd; email=asd@asd.hu; password=ASDasd123!; password_confirmation=ASDasd123!.
4. Run the attached Postman tests.</x:t>
  </x:si>
  <x:si>
    <x:t xml:space="preserve">TC-065</x:t>
  </x:si>
  <x:si>
    <x:t xml:space="preserve">Postman: POST /api/admin/screenings</x:t>
  </x:si>
  <x:si>
    <x:t xml:space="preserve">film_id=17; room_id=4; screening_date=1111-11-11; start_time=00:00:00</x:t>
  </x:si>
  <x:si>
    <x:t xml:space="preserve">1. Send POST /api/admin/screenings in Postman.
2. Headers: X-XSRF-TOKEN: {{XSRF}}.
3. Body (form-data): film_id=17; room_id=4; screening_date=1111-11-11; start_time=00:00:00.
4. Run the attached Postman tests.</x:t>
  </x:si>
  <x:si>
    <x:t xml:space="preserve">TC-066</x:t>
  </x:si>
  <x:si>
    <x:t xml:space="preserve">Postman: GET /api/admin/rooms</x:t>
  </x:si>
  <x:si>
    <x:t xml:space="preserve">1. Send GET /api/admin/rooms in Postman.
2. Headers: X-XSRF-TOKEN: {{XSRF}}.
3. Body (form-data): film_id=17; room_id=4; screening_date=1111-11-11; start_time=00:00:00.
4. Run the attached Postman tests.</x:t>
  </x:si>
  <x:si>
    <x:t xml:space="preserve">TC-067</x:t>
  </x:si>
  <x:si>
    <x:t xml:space="preserve">Booking flow – seat already reserved (UI)</x:t>
  </x:si>
  <x:si>
    <x:t xml:space="preserve">Booking</x:t>
  </x:si>
  <x:si>
    <x:t xml:space="preserve">/movies/{movieId}/screenings/{screeningId}</x:t>
  </x:si>
  <x:si>
    <x:t xml:space="preserve">There is an existing booking for at least one seat on the chosen screening.</x:t>
  </x:si>
  <x:si>
    <x:t xml:space="preserve">MovieId, ScreeningId, Seat=A5 (already reserved)</x:t>
  </x:si>
  <x:si>
    <x:t xml:space="preserve">1. Log in as a normal user.
2. Open a screening that already has at least one reserved seat.
3. Try to select an already reserved seat.
4. Try to proceed to checkout/confirm.</x:t>
  </x:si>
  <x:si>
    <x:t xml:space="preserve">Reserved seats are not selectable OR selection is rejected with a clear message; booking cannot be created for an already reserved seat.</x:t>
  </x:si>
  <x:si>
    <x:t xml:space="preserve">TC-068</x:t>
  </x:si>
  <x:si>
    <x:t xml:space="preserve">Booking – double submit (refresh/back) does not create duplicates</x:t>
  </x:si>
  <x:si>
    <x:t xml:space="preserve">/booking/confirm</x:t>
  </x:si>
  <x:si>
    <x:t xml:space="preserve">User has selected seats and reached confirmation step.</x:t>
  </x:si>
  <x:si>
    <x:t xml:space="preserve">Any valid screening + 2 seats</x:t>
  </x:si>
  <x:si>
    <x:t xml:space="preserve">1. On the confirm step, click “Confirm/Pay” (or equivalent).
2. Immediately refresh the page and/or click Back then forward again.
3. Check user’s bookings list and admin bookings list.</x:t>
  </x:si>
  <x:si>
    <x:t xml:space="preserve">At most one booking is created (idempotent behavior); user sees the same booking reference; no duplicate reservations.</x:t>
  </x:si>
  <x:si>
    <x:t xml:space="preserve">Critical</x:t>
  </x:si>
  <x:si>
    <x:t xml:space="preserve">TC-069</x:t>
  </x:si>
  <x:si>
    <x:t xml:space="preserve">Seat hold/lock expires after timeout</x:t>
  </x:si>
  <x:si>
    <x:t xml:space="preserve">/booking</x:t>
  </x:si>
  <x:si>
    <x:t xml:space="preserve">Seat hold/lock feature enabled (temporary reservation).</x:t>
  </x:si>
  <x:si>
    <x:t xml:space="preserve">Hold timeout configured (e.g., 5–15 minutes)</x:t>
  </x:si>
  <x:si>
    <x:t xml:space="preserve">1. Start a booking and select seats.
2. Do not confirm the booking.
3. Wait until the configured hold timeout passes.
4. Reopen the same screening (in another browser or as another user) and try to select the seats.</x:t>
  </x:si>
  <x:si>
    <x:t xml:space="preserve">After timeout, held seats are released and become available again; the original session cannot confirm with expired holds.</x:t>
  </x:si>
  <x:si>
    <x:t xml:space="preserve">TC-070</x:t>
  </x:si>
  <x:si>
    <x:t xml:space="preserve">Unauthorized access – bookings endpoint requires auth (manual)</x:t>
  </x:si>
  <x:si>
    <x:t xml:space="preserve">/api/bookings</x:t>
  </x:si>
  <x:si>
    <x:t xml:space="preserve">API running.</x:t>
  </x:si>
  <x:si>
    <x:t xml:space="preserve">No Authorization header</x:t>
  </x:si>
  <x:si>
    <x:t xml:space="preserve">1. Send GET /api/bookings without token.
2. Observe response.</x:t>
  </x:si>
  <x:si>
    <x:t xml:space="preserve">Request is rejected with 401 Unauthorized (or 403) and does not leak user data.</x:t>
  </x:si>
  <x:si>
    <x:t xml:space="preserve">TC-071</x:t>
  </x:si>
  <x:si>
    <x:t xml:space="preserve">Admin-only – create screening blocked for normal user (manual)</x:t>
  </x:si>
  <x:si>
    <x:t xml:space="preserve">Normal user token available.</x:t>
  </x:si>
  <x:si>
    <x:t xml:space="preserve">Valid screening payload (movieId, hallId, startTime, price)</x:t>
  </x:si>
  <x:si>
    <x:t xml:space="preserve">1. Send POST /api/admin/screenings with a USER token.
2. Observe response and DB state.</x:t>
  </x:si>
  <x:si>
    <x:t xml:space="preserve">Request is rejected with 403 Forbidden; no screening is created.</x:t>
  </x:si>
  <x:si>
    <x:t xml:space="preserve">TC-072</x:t>
  </x:si>
  <x:si>
    <x:t xml:space="preserve">Validation – create screening with past startTime is rejected (manual)</x:t>
  </x:si>
  <x:si>
    <x:t xml:space="preserve">Admin token available.</x:t>
  </x:si>
  <x:si>
    <x:t xml:space="preserve">startTime set to a past datetime; other fields valid</x:t>
  </x:si>
  <x:si>
    <x:t xml:space="preserve">1. Send POST /api/admin/screenings with startTime in the past.
2. Observe response.</x:t>
  </x:si>
  <x:si>
    <x:t xml:space="preserve">400 Bad Request (or validation error) with clear message; screening not created.</x:t>
  </x:si>
  <x:si>
    <x:t xml:space="preserve">TC-073</x:t>
  </x:si>
  <x:si>
    <x:t xml:space="preserve">Negative – booking with invalid seat id is rejected (manual)</x:t>
  </x:si>
  <x:si>
    <x:t xml:space="preserve">User token available; screening exists.</x:t>
  </x:si>
  <x:si>
    <x:t xml:space="preserve">seatId that does not exist for the hall (e.g., Z99)</x:t>
  </x:si>
  <x:si>
    <x:t xml:space="preserve">1. Send POST /api/bookings with an invalid seat.
2. Observe response.</x:t>
  </x:si>
  <x:si>
    <x:t xml:space="preserve">400 Bad Request (or 404) with validation message; no reservation created.</x:t>
  </x:si>
  <x:si>
    <x:t xml:space="preserve">TC-074</x:t>
  </x:si>
  <x:si>
    <x:t xml:space="preserve">Security – SQL injection attempt in search does not break API (manual)</x:t>
  </x:si>
  <x:si>
    <x:t xml:space="preserve">Security</x:t>
  </x:si>
  <x:si>
    <x:t xml:space="preserve">/api/movies?query=</x:t>
  </x:si>
  <x:si>
    <x:t xml:space="preserve">Movies search endpoint exists.</x:t>
  </x:si>
  <x:si>
    <x:t xml:space="preserve">query="' OR 1=1 --" (and similar payloads)</x:t>
  </x:si>
  <x:si>
    <x:t xml:space="preserve">1. Call /api/movies?query=' OR 1=1 --
2. Observe status code, response time, and returned results.
3. Check server logs for errors (if available).</x:t>
  </x:si>
  <x:si>
    <x:t xml:space="preserve">No server error (no 5xx); results are properly filtered/escaped; query treated as text; no data leakage.</x:t>
  </x:si>
  <x:si>
    <x:t xml:space="preserve">Manual Test Summary</x:t>
  </x:si>
  <x:si>
    <x:t xml:space="preserve">Generated on: 2026-03-03</x:t>
  </x:si>
  <x:si>
    <x:t xml:space="preserve">Total Test Cases</x:t>
  </x:si>
  <x:si>
    <x:t xml:space="preserve">By Interface</x:t>
  </x:si>
  <x:si>
    <x:t xml:space="preserve">How to use</x:t>
  </x:si>
  <x:si>
    <x:t xml:space="preserve">Not Run</x:t>
  </x:si>
  <x:si>
    <x:t xml:space="preserve">1) Execute each test case in 'Test Cases'.
2) Fill 'Actual Result' and set 'Status'.
3) Summary updates automatically.</x:t>
  </x:si>
  <x:si>
    <x:t xml:space="preserve">Pass</x:t>
  </x:si>
  <x:si>
    <x:t xml:space="preserve">Fail</x:t>
  </x:si>
  <x:si>
    <x:t xml:space="preserve">Blocked</x:t>
  </x:si>
  <x:si>
    <x:t xml:space="preserve">Completion % (Pass/Total)</x:t>
  </x:si>
  <x:si>
    <x:t xml:space="preserve">By Module</x:t>
  </x:si>
  <x:si>
    <x:t xml:space="preserve">Count</x:t>
  </x:si>
  <x:si>
    <x:t xml:space="preserve">Low</x:t>
  </x:si>
  <x:si>
    <x:t xml:space="preserve">Trivial</x:t>
  </x:si>
  <x:si>
    <x:t xml:space="preserve">Type</x:t>
  </x:si>
  <x:si>
    <x:t xml:space="preserve">Positive</x:t>
  </x:si>
  <x:si>
    <x:t xml:space="preserve">Negative</x:t>
  </x:si>
  <x:si>
    <x:t xml:space="preserve">Regression</x:t>
  </x:si>
  <x:si>
    <x:t xml:space="preserve">AuthRole</x:t>
  </x:si>
  <x:si>
    <x:t xml:space="preserve">DELETE</x:t>
  </x:si>
</x:sst>
</file>

<file path=xl/styles.xml><?xml version="1.0" encoding="utf-8"?>
<x:styleSheet xmlns:x="http://schemas.openxmlformats.org/spreadsheetml/2006/main">
  <x:numFmts count="2">
    <x:numFmt numFmtId="164" formatCode="yyyy\-mm\-dd"/>
    <x:numFmt numFmtId="165" formatCode="0.0%"/>
  </x:numFmts>
  <x:fonts count="8">
    <x:font>
      <x:sz val="11"/>
      <x:color theme="1"/>
      <x:name val="Calibri"/>
    </x:font>
    <x:font>
      <x:b/>
      <x:sz val="11"/>
      <x:name val="Calibri"/>
    </x:font>
    <x:font>
      <x:b/>
      <x:sz val="11"/>
      <x:color rgb="FFFFFF"/>
      <x:name val="Calibri"/>
    </x:font>
    <x:font>
      <x:b/>
      <x:sz val="16"/>
      <x:color rgb="1F4E79"/>
      <x:name val="Calibri"/>
    </x:font>
    <x:font>
      <x:i/>
      <x:sz val="11"/>
      <x:color rgb="666666"/>
      <x:name val="Calibri"/>
    </x:font>
    <x:font>
      <x:b/>
      <x:sz val="12"/>
      <x:color rgb="1F4E79"/>
      <x:name val="Calibri"/>
    </x:font>
    <x:font>
      <x:sz val="11"/>
      <x:color rgb="1F4E79"/>
      <x:name val="Calibri"/>
    </x:font>
    <x:font>
      <x:sz val="11"/>
      <x:color theme="1"/>
      <x:name val="Calibri"/>
    </x:font>
  </x:fonts>
  <x:fills count="7">
    <x:fill>
      <x:patternFill patternType="none"/>
    </x:fill>
    <x:fill>
      <x:patternFill patternType="gray125"/>
    </x:fill>
    <x:fill>
      <x:patternFill patternType="solid">
        <x:fgColor rgb="1F4E79"/>
      </x:patternFill>
    </x:fill>
    <x:fill>
      <x:patternFill patternType="solid">
        <x:fgColor rgb="F2F2F2"/>
      </x:patternFill>
    </x:fill>
    <x:fill>
      <x:patternFill patternType="solid">
        <x:fgColor rgb="D9E1F2"/>
      </x:patternFill>
    </x:fill>
    <x:fill>
      <x:patternFill patternType="solid">
        <x:fgColor rgb="FFFFFF"/>
      </x:patternFill>
    </x:fill>
    <x:fill>
      <x:patternFill patternType="solid">
        <x:fgColor rgb="FFF2CC"/>
      </x:patternFill>
    </x:fill>
  </x:fills>
  <x:borders count="2">
    <x:border/>
    <x:border>
      <x:left style="thin">
        <x:color rgb="D9D9D9"/>
      </x:left>
      <x:right style="thin">
        <x:color rgb="D9D9D9"/>
      </x:right>
      <x:top style="thin">
        <x:color rgb="D9D9D9"/>
      </x:top>
      <x:bottom style="thin">
        <x:color rgb="D9D9D9"/>
      </x:bottom>
    </x:border>
  </x:borders>
  <x:cellStyleXfs count="2">
    <x:xf numFmtId="0" fontId="0" fillId="0" borderId="0"/>
    <x:xf numFmtId="0" fontId="7" fillId="0" borderId="0"/>
  </x:cellStyleXfs>
  <x:cellXfs count="23">
    <x:xf numFmtId="0" fontId="0" fillId="0" borderId="0" xfId="0"/>
    <x:xf numFmtId="0" fontId="2" fillId="2" borderId="1" xfId="1" applyFont="1" applyFill="1" applyBorder="1" applyAlignment="1">
      <x:alignment horizontal="center" vertical="center" wrapText="1"/>
    </x:xf>
    <x:xf numFmtId="0" fontId="0" fillId="0" borderId="1" xfId="1" applyFont="1" applyBorder="1" applyAlignment="1">
      <x:alignment horizontal="center" vertical="top"/>
    </x:xf>
    <x:xf numFmtId="0" fontId="0" fillId="0" borderId="1" xfId="1" applyFont="1" applyBorder="1" applyAlignment="1">
      <x:alignment vertical="top" wrapText="1"/>
    </x:xf>
    <x:xf numFmtId="0" fontId="0" fillId="0" borderId="1" xfId="1" applyFont="1" applyBorder="1" applyAlignment="1">
      <x:alignment horizontal="center" vertical="top" wrapText="1"/>
    </x:xf>
    <x:xf numFmtId="0" fontId="6" fillId="0" borderId="1" xfId="1" applyFont="1" applyBorder="1" applyAlignment="1">
      <x:alignment vertical="top" wrapText="1"/>
    </x:xf>
    <x:xf numFmtId="0" fontId="6" fillId="0" borderId="1" xfId="1" applyFont="1" applyBorder="1" applyAlignment="1">
      <x:alignment horizontal="center" vertical="top" wrapText="1"/>
    </x:xf>
    <x:xf numFmtId="164" fontId="6" fillId="0" borderId="1" xfId="1" applyNumberFormat="1" applyFont="1" applyBorder="1" applyAlignment="1">
      <x:alignment vertical="top" wrapText="1"/>
    </x:xf>
    <x:xf numFmtId="0" fontId="0" fillId="0" borderId="0" xfId="1" applyFont="1" applyAlignment="1">
      <x:alignment vertical="top" wrapText="1"/>
    </x:xf>
    <x:xf numFmtId="164" fontId="0" fillId="0" borderId="0" xfId="1" applyNumberFormat="1" applyFont="1"/>
    <x:xf numFmtId="0" fontId="3" fillId="0" borderId="0" xfId="1" applyFont="1"/>
    <x:xf numFmtId="0" fontId="4" fillId="0" borderId="0" xfId="1" applyFont="1"/>
    <x:xf numFmtId="0" fontId="1" fillId="3" borderId="1" xfId="1" applyFont="1" applyFill="1" applyBorder="1" applyAlignment="1">
      <x:alignment vertical="center"/>
    </x:xf>
    <x:xf numFmtId="0" fontId="0" fillId="3" borderId="1" xfId="1" applyFont="1" applyFill="1" applyBorder="1" applyAlignment="1">
      <x:alignment vertical="center"/>
    </x:xf>
    <x:xf numFmtId="0" fontId="5" fillId="4" borderId="1" xfId="1" applyFont="1" applyFill="1" applyBorder="1" applyAlignment="1">
      <x:alignment vertical="center"/>
    </x:xf>
    <x:xf numFmtId="0" fontId="0" fillId="4" borderId="1" xfId="1" applyFont="1" applyFill="1" applyBorder="1" applyAlignment="1">
      <x:alignment vertical="center"/>
    </x:xf>
    <x:xf numFmtId="0" fontId="5" fillId="0" borderId="0" xfId="1" applyFont="1"/>
    <x:xf numFmtId="0" fontId="0" fillId="5" borderId="1" xfId="1" applyFont="1" applyFill="1" applyBorder="1" applyAlignment="1">
      <x:alignment vertical="center"/>
    </x:xf>
    <x:xf numFmtId="0" fontId="0" fillId="6" borderId="1" xfId="1" applyFont="1" applyFill="1" applyBorder="1" applyAlignment="1">
      <x:alignment vertical="top" wrapText="1"/>
    </x:xf>
    <x:xf numFmtId="165" fontId="0" fillId="3" borderId="1" xfId="1" applyNumberFormat="1" applyFont="1" applyFill="1" applyBorder="1" applyAlignment="1">
      <x:alignment vertical="center"/>
    </x:xf>
    <x:xf numFmtId="0" fontId="2" fillId="2" borderId="1" xfId="1" applyFont="1" applyFill="1" applyBorder="1" applyAlignment="1">
      <x:alignment horizontal="center" vertical="center"/>
    </x:xf>
    <x:xf numFmtId="0" fontId="0" fillId="5" borderId="1" xfId="1" applyFont="1" applyFill="1" applyBorder="1" applyAlignment="1">
      <x:alignment vertical="top" wrapText="1"/>
    </x:xf>
    <x:xf numFmtId="0" fontId="1" fillId="0" borderId="0" xfId="1" applyFont="1"/>
  </x:cellXfs>
  <x:cellStyles count="2">
    <x:cellStyle name="Normal" xfId="1"/>
    <x:cellStyle name="Normál" xfId="0"/>
  </x:cellStyles>
</x:styleSheet>
</file>

<file path=xl/_rels/workbook.xml.rels>&#65279;<?xml version="1.0" encoding="utf-8"?><Relationships xmlns="http://schemas.openxmlformats.org/package/2006/relationships"><Relationship Type="http://schemas.openxmlformats.org/officeDocument/2006/relationships/styles" Target="/xl/styles.xml" Id="R49c3d4ba69d44617" /><Relationship Type="http://schemas.openxmlformats.org/officeDocument/2006/relationships/theme" Target="/xl/theme/theme1.xml" Id="R54ede193fc5d4bc9" /><Relationship Type="http://schemas.openxmlformats.org/officeDocument/2006/relationships/sharedStrings" Target="/xl/sharedStrings.xml" Id="R3427cf2e2edf471e" /><Relationship Type="http://schemas.openxmlformats.org/officeDocument/2006/relationships/worksheet" Target="/xl/worksheets/sheet1.xml" Id="R8b9f891f27e64ebe" /><Relationship Type="http://schemas.openxmlformats.org/officeDocument/2006/relationships/worksheet" Target="/xl/worksheets/sheet2.xml" Id="R2284a821215a4236" /><Relationship Type="http://schemas.openxmlformats.org/officeDocument/2006/relationships/worksheet" Target="/xl/worksheets/sheet3.xml" Id="Rd3f96cf8a98d4ed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4.5"/>
  <x:cols>
    <x:col min="1" max="1" width="10" customWidth="1"/>
    <x:col min="2" max="2" width="28" customWidth="1"/>
    <x:col min="3" max="3" width="16" customWidth="1"/>
    <x:col min="4" max="4" width="10" customWidth="1"/>
    <x:col min="5" max="5" width="28" customWidth="1"/>
    <x:col min="6" max="6" width="8" customWidth="1"/>
    <x:col min="7" max="7" width="12" customWidth="1"/>
    <x:col min="8" max="8" width="22" customWidth="1"/>
    <x:col min="9" max="9" width="18" customWidth="1"/>
    <x:col min="10" max="10" width="42" customWidth="1"/>
    <x:col min="11" max="11" width="34" customWidth="1"/>
    <x:col min="12" max="12" width="22" customWidth="1"/>
    <x:col min="13" max="15" width="10" customWidth="1"/>
    <x:col min="16" max="16" width="14" customWidth="1"/>
    <x:col min="17" max="17" width="12" customWidth="1"/>
    <x:col min="18" max="18" width="20" customWidth="1"/>
  </x:cols>
  <x:sheetData>
    <x:row r="1" ht="30"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row>
    <x:row r="2" ht="80" customHeight="1">
      <x:c r="A2" s="2" t="s">
        <x:v>18</x:v>
      </x:c>
      <x:c r="B2" s="3" t="s">
        <x:v>19</x:v>
      </x:c>
      <x:c r="C2" s="3" t="s">
        <x:v>20</x:v>
      </x:c>
      <x:c r="D2" s="4" t="s">
        <x:v>21</x:v>
      </x:c>
      <x:c r="E2" s="3" t="s">
        <x:v>22</x:v>
      </x:c>
      <x:c r="F2" s="4" t="s">
        <x:v>23</x:v>
      </x:c>
      <x:c r="G2" s="4" t="s">
        <x:v>24</x:v>
      </x:c>
      <x:c r="H2" s="3" t="s">
        <x:v>25</x:v>
      </x:c>
      <x:c r="I2" s="3" t="s">
        <x:v>26</x:v>
      </x:c>
      <x:c r="J2" s="3" t="s">
        <x:v>27</x:v>
      </x:c>
      <x:c r="K2" s="3" t="s">
        <x:v>28</x:v>
      </x:c>
      <x:c r="L2" s="5" t="str">
        <x:v>GET / as HTML returned 200; home page rendered in browser with title Cinemax and no initial console errors.</x:v>
      </x:c>
      <x:c r="M2" s="6" t="str">
        <x:v>Pass</x:v>
      </x:c>
      <x:c r="N2" s="4" t="s">
        <x:v>29</x:v>
      </x:c>
      <x:c r="O2" s="4" t="s">
        <x:v>30</x:v>
      </x:c>
      <x:c r="P2" s="5" t="str">
        <x:v>Patrik</x:v>
      </x:c>
      <x:c r="Q2" s="7" t="str">
        <x:v>2026-04-30</x:v>
      </x:c>
      <x:c r="R2" s="5" t="str"/>
    </x:row>
    <x:row r="3" ht="80" customHeight="1">
      <x:c r="A3" s="2" t="s">
        <x:v>31</x:v>
      </x:c>
      <x:c r="B3" s="3" t="s">
        <x:v>32</x:v>
      </x:c>
      <x:c r="C3" s="3" t="s">
        <x:v>20</x:v>
      </x:c>
      <x:c r="D3" s="4" t="s">
        <x:v>33</x:v>
      </x:c>
      <x:c r="E3" s="3" t="s">
        <x:v>22</x:v>
      </x:c>
      <x:c r="F3" s="4" t="s">
        <x:v>23</x:v>
      </x:c>
      <x:c r="G3" s="4" t="s">
        <x:v>34</x:v>
      </x:c>
      <x:c r="H3" s="3" t="s">
        <x:v>35</x:v>
      </x:c>
      <x:c r="I3" s="3" t="s">
        <x:v>36</x:v>
      </x:c>
      <x:c r="J3" s="3" t="s">
        <x:v>37</x:v>
      </x:c>
      <x:c r="K3" s="3" t="s">
        <x:v>38</x:v>
      </x:c>
      <x:c r="L3" s="5" t="str">
        <x:v>GET / with Accept: application/json returned 200 JSON: {"message":"Already authenticated","user":null}.</x:v>
      </x:c>
      <x:c r="M3" s="6" t="str">
        <x:v>Pass</x:v>
      </x:c>
      <x:c r="N3" s="4" t="s">
        <x:v>29</x:v>
      </x:c>
      <x:c r="O3" s="4" t="s">
        <x:v>30</x:v>
      </x:c>
      <x:c r="P3" s="5" t="str">
        <x:v>Patrik</x:v>
      </x:c>
      <x:c r="Q3" s="7" t="str">
        <x:v>2026-04-30</x:v>
      </x:c>
      <x:c r="R3" s="5" t="str"/>
    </x:row>
    <x:row r="4" ht="80" customHeight="1">
      <x:c r="A4" s="2" t="s">
        <x:v>39</x:v>
      </x:c>
      <x:c r="B4" s="3" t="s">
        <x:v>40</x:v>
      </x:c>
      <x:c r="C4" s="3" t="s">
        <x:v>20</x:v>
      </x:c>
      <x:c r="D4" s="4" t="s">
        <x:v>21</x:v>
      </x:c>
      <x:c r="E4" s="3" t="s">
        <x:v>41</x:v>
      </x:c>
      <x:c r="F4" s="4" t="s">
        <x:v>23</x:v>
      </x:c>
      <x:c r="G4" s="4" t="s">
        <x:v>24</x:v>
      </x:c>
      <x:c r="H4" s="3" t="s">
        <x:v>42</x:v>
      </x:c>
      <x:c r="I4" s="3" t="s">
        <x:v>26</x:v>
      </x:c>
      <x:c r="J4" s="3" t="s">
        <x:v>43</x:v>
      </x:c>
      <x:c r="K4" s="3" t="s">
        <x:v>44</x:v>
      </x:c>
      <x:c r="L4" s="5" t="str">
        <x:v>GET /movies returned 200; in-browser AJAX rendered movie cards (Avatar, Avengers, etc.) without blocking errors.</x:v>
      </x:c>
      <x:c r="M4" s="6" t="str">
        <x:v>Pass</x:v>
      </x:c>
      <x:c r="N4" s="4" t="s">
        <x:v>29</x:v>
      </x:c>
      <x:c r="O4" s="4" t="s">
        <x:v>30</x:v>
      </x:c>
      <x:c r="P4" s="5" t="str">
        <x:v>Patrik</x:v>
      </x:c>
      <x:c r="Q4" s="7" t="str">
        <x:v>2026-04-30</x:v>
      </x:c>
      <x:c r="R4" s="5" t="str"/>
    </x:row>
    <x:row r="5" ht="80" customHeight="1">
      <x:c r="A5" s="2" t="s">
        <x:v>45</x:v>
      </x:c>
      <x:c r="B5" s="3" t="s">
        <x:v>46</x:v>
      </x:c>
      <x:c r="C5" s="3" t="s">
        <x:v>20</x:v>
      </x:c>
      <x:c r="D5" s="4" t="s">
        <x:v>21</x:v>
      </x:c>
      <x:c r="E5" s="3" t="s">
        <x:v>47</x:v>
      </x:c>
      <x:c r="F5" s="4" t="s">
        <x:v>23</x:v>
      </x:c>
      <x:c r="G5" s="4" t="s">
        <x:v>24</x:v>
      </x:c>
      <x:c r="H5" s="3" t="s">
        <x:v>42</x:v>
      </x:c>
      <x:c r="I5" s="3" t="s">
        <x:v>26</x:v>
      </x:c>
      <x:c r="J5" s="3" t="s">
        <x:v>48</x:v>
      </x:c>
      <x:c r="K5" s="3" t="s">
        <x:v>49</x:v>
      </x:c>
      <x:c r="L5" s="5" t="str">
        <x:v>GET /about returned 200; About content displayed.</x:v>
      </x:c>
      <x:c r="M5" s="6" t="str">
        <x:v>Pass</x:v>
      </x:c>
      <x:c r="N5" s="4" t="s">
        <x:v>29</x:v>
      </x:c>
      <x:c r="O5" s="4" t="s">
        <x:v>30</x:v>
      </x:c>
      <x:c r="P5" s="5" t="str">
        <x:v>Patrik</x:v>
      </x:c>
      <x:c r="Q5" s="7" t="str">
        <x:v>2026-04-30</x:v>
      </x:c>
      <x:c r="R5" s="5" t="str"/>
    </x:row>
    <x:row r="6" ht="80" customHeight="1">
      <x:c r="A6" s="2" t="s">
        <x:v>50</x:v>
      </x:c>
      <x:c r="B6" s="3" t="s">
        <x:v>51</x:v>
      </x:c>
      <x:c r="C6" s="3" t="s">
        <x:v>52</x:v>
      </x:c>
      <x:c r="D6" s="4" t="s">
        <x:v>21</x:v>
      </x:c>
      <x:c r="E6" s="3" t="s">
        <x:v>53</x:v>
      </x:c>
      <x:c r="F6" s="4" t="s">
        <x:v>23</x:v>
      </x:c>
      <x:c r="G6" s="4" t="s">
        <x:v>24</x:v>
      </x:c>
      <x:c r="H6" s="3" t="s">
        <x:v>42</x:v>
      </x:c>
      <x:c r="I6" s="3" t="s">
        <x:v>26</x:v>
      </x:c>
      <x:c r="J6" s="3" t="s">
        <x:v>54</x:v>
      </x:c>
      <x:c r="K6" s="3" t="s">
        <x:v>55</x:v>
      </x:c>
      <x:c r="L6" s="5" t="str">
        <x:v>GET /login returned 200; login form visible in browser.</x:v>
      </x:c>
      <x:c r="M6" s="6" t="str">
        <x:v>Pass</x:v>
      </x:c>
      <x:c r="N6" s="4" t="s">
        <x:v>56</x:v>
      </x:c>
      <x:c r="O6" s="4" t="s">
        <x:v>57</x:v>
      </x:c>
      <x:c r="P6" s="5" t="str">
        <x:v>Patrik</x:v>
      </x:c>
      <x:c r="Q6" s="7" t="str">
        <x:v>2026-04-30</x:v>
      </x:c>
      <x:c r="R6" s="5" t="str"/>
    </x:row>
    <x:row r="7" ht="80" customHeight="1">
      <x:c r="A7" s="2" t="s">
        <x:v>58</x:v>
      </x:c>
      <x:c r="B7" s="3" t="s">
        <x:v>59</x:v>
      </x:c>
      <x:c r="C7" s="3" t="s">
        <x:v>60</x:v>
      </x:c>
      <x:c r="D7" s="4" t="s">
        <x:v>21</x:v>
      </x:c>
      <x:c r="E7" s="3" t="s">
        <x:v>61</x:v>
      </x:c>
      <x:c r="F7" s="4" t="s">
        <x:v>23</x:v>
      </x:c>
      <x:c r="G7" s="4" t="s">
        <x:v>24</x:v>
      </x:c>
      <x:c r="H7" s="3" t="s">
        <x:v>62</x:v>
      </x:c>
      <x:c r="I7" s="3" t="s">
        <x:v>26</x:v>
      </x:c>
      <x:c r="J7" s="3" t="s">
        <x:v>63</x:v>
      </x:c>
      <x:c r="K7" s="3" t="s">
        <x:v>64</x:v>
      </x:c>
      <x:c r="L7" s="5" t="str">
        <x:v>Guest GET /bookings returned 302 redirect to http://localhost:8888/login.</x:v>
      </x:c>
      <x:c r="M7" s="6" t="str">
        <x:v>Pass</x:v>
      </x:c>
      <x:c r="N7" s="4" t="s">
        <x:v>29</x:v>
      </x:c>
      <x:c r="O7" s="4" t="s">
        <x:v>30</x:v>
      </x:c>
      <x:c r="P7" s="5" t="str">
        <x:v>Patrik</x:v>
      </x:c>
      <x:c r="Q7" s="7" t="str">
        <x:v>2026-04-30</x:v>
      </x:c>
      <x:c r="R7" s="5" t="str"/>
    </x:row>
    <x:row r="8" ht="80" customHeight="1">
      <x:c r="A8" s="2" t="s">
        <x:v>65</x:v>
      </x:c>
      <x:c r="B8" s="3" t="s">
        <x:v>66</x:v>
      </x:c>
      <x:c r="C8" s="3" t="s">
        <x:v>67</x:v>
      </x:c>
      <x:c r="D8" s="4" t="s">
        <x:v>21</x:v>
      </x:c>
      <x:c r="E8" s="3" t="s">
        <x:v>68</x:v>
      </x:c>
      <x:c r="F8" s="4" t="s">
        <x:v>23</x:v>
      </x:c>
      <x:c r="G8" s="4" t="s">
        <x:v>24</x:v>
      </x:c>
      <x:c r="H8" s="3" t="s">
        <x:v>62</x:v>
      </x:c>
      <x:c r="I8" s="3" t="s">
        <x:v>26</x:v>
      </x:c>
      <x:c r="J8" s="3" t="s">
        <x:v>69</x:v>
      </x:c>
      <x:c r="K8" s="3" t="s">
        <x:v>70</x:v>
      </x:c>
      <x:c r="L8" s="5" t="str">
        <x:v>Guest GET /profile returned 302 redirect to http://localhost:8888/login.</x:v>
      </x:c>
      <x:c r="M8" s="6" t="str">
        <x:v>Pass</x:v>
      </x:c>
      <x:c r="N8" s="4" t="s">
        <x:v>29</x:v>
      </x:c>
      <x:c r="O8" s="4" t="s">
        <x:v>30</x:v>
      </x:c>
      <x:c r="P8" s="5" t="str">
        <x:v>Patrik</x:v>
      </x:c>
      <x:c r="Q8" s="7" t="str">
        <x:v>2026-04-30</x:v>
      </x:c>
      <x:c r="R8" s="5" t="str"/>
    </x:row>
    <x:row r="9" ht="80" customHeight="1">
      <x:c r="A9" s="2" t="s">
        <x:v>71</x:v>
      </x:c>
      <x:c r="B9" s="3" t="s">
        <x:v>72</x:v>
      </x:c>
      <x:c r="C9" s="3" t="s">
        <x:v>73</x:v>
      </x:c>
      <x:c r="D9" s="4" t="s">
        <x:v>21</x:v>
      </x:c>
      <x:c r="E9" s="3" t="s">
        <x:v>74</x:v>
      </x:c>
      <x:c r="F9" s="4" t="s">
        <x:v>23</x:v>
      </x:c>
      <x:c r="G9" s="4" t="s">
        <x:v>24</x:v>
      </x:c>
      <x:c r="H9" s="3" t="s">
        <x:v>62</x:v>
      </x:c>
      <x:c r="I9" s="3" t="s">
        <x:v>26</x:v>
      </x:c>
      <x:c r="J9" s="3" t="s">
        <x:v>75</x:v>
      </x:c>
      <x:c r="K9" s="3" t="s">
        <x:v>76</x:v>
      </x:c>
      <x:c r="L9" s="5" t="str">
        <x:v>Guest GET /admin returned 302 redirect to http://localhost:8888/login.</x:v>
      </x:c>
      <x:c r="M9" s="6" t="str">
        <x:v>Pass</x:v>
      </x:c>
      <x:c r="N9" s="4" t="s">
        <x:v>29</x:v>
      </x:c>
      <x:c r="O9" s="4" t="s">
        <x:v>30</x:v>
      </x:c>
      <x:c r="P9" s="5" t="str">
        <x:v>Patrik</x:v>
      </x:c>
      <x:c r="Q9" s="7" t="str">
        <x:v>2026-04-30</x:v>
      </x:c>
      <x:c r="R9" s="5" t="str"/>
    </x:row>
    <x:row r="10" ht="80" customHeight="1">
      <x:c r="A10" s="2" t="s">
        <x:v>77</x:v>
      </x:c>
      <x:c r="B10" s="3" t="s">
        <x:v>78</x:v>
      </x:c>
      <x:c r="C10" s="3" t="s">
        <x:v>52</x:v>
      </x:c>
      <x:c r="D10" s="4" t="s">
        <x:v>33</x:v>
      </x:c>
      <x:c r="E10" s="3" t="s">
        <x:v>79</x:v>
      </x:c>
      <x:c r="F10" s="4" t="s">
        <x:v>80</x:v>
      </x:c>
      <x:c r="G10" s="4" t="s">
        <x:v>24</x:v>
      </x:c>
      <x:c r="H10" s="3" t="s">
        <x:v>81</x:v>
      </x:c>
      <x:c r="I10" s="3" t="s">
        <x:v>82</x:v>
      </x:c>
      <x:c r="J10" s="3" t="s">
        <x:v>83</x:v>
      </x:c>
      <x:c r="K10" s="3" t="s">
        <x:v>84</x:v>
      </x:c>
      <x:c r="L10" s="5" t="str">
        <x:v>POST /register with unique email returned 201 application/json; {"message":"Sikeres regisztracio.","user":{"id":13,"name":"Codex Test User","email":"codex_test_1777567180095@example.test","is_admin":false}}.</x:v>
      </x:c>
      <x:c r="M10" s="6" t="str">
        <x:v>Pass</x:v>
      </x:c>
      <x:c r="N10" s="4" t="s">
        <x:v>56</x:v>
      </x:c>
      <x:c r="O10" s="4" t="s">
        <x:v>57</x:v>
      </x:c>
      <x:c r="P10" s="5" t="str">
        <x:v>Patrik</x:v>
      </x:c>
      <x:c r="Q10" s="7" t="str">
        <x:v>2026-04-30</x:v>
      </x:c>
      <x:c r="R10" s="5" t="str"/>
    </x:row>
    <x:row r="11" ht="80" customHeight="1">
      <x:c r="A11" s="2" t="s">
        <x:v>85</x:v>
      </x:c>
      <x:c r="B11" s="3" t="s">
        <x:v>86</x:v>
      </x:c>
      <x:c r="C11" s="3" t="s">
        <x:v>52</x:v>
      </x:c>
      <x:c r="D11" s="4" t="s">
        <x:v>33</x:v>
      </x:c>
      <x:c r="E11" s="3" t="s">
        <x:v>79</x:v>
      </x:c>
      <x:c r="F11" s="4" t="s">
        <x:v>80</x:v>
      </x:c>
      <x:c r="G11" s="4" t="s">
        <x:v>24</x:v>
      </x:c>
      <x:c r="H11" s="3" t="s">
        <x:v>87</x:v>
      </x:c>
      <x:c r="I11" s="3" t="s">
        <x:v>88</x:v>
      </x:c>
      <x:c r="J11" s="3" t="s">
        <x:v>89</x:v>
      </x:c>
      <x:c r="K11" s="3" t="s">
        <x:v>90</x:v>
      </x:c>
      <x:c r="L11" s="5" t="str">
        <x:v>Duplicate POST /register returned 422 application/json; {"errors":{"email":["The email has already been taken."]}}.</x:v>
      </x:c>
      <x:c r="M11" s="6" t="str">
        <x:v>Pass</x:v>
      </x:c>
      <x:c r="N11" s="4" t="s">
        <x:v>56</x:v>
      </x:c>
      <x:c r="O11" s="4" t="s">
        <x:v>57</x:v>
      </x:c>
      <x:c r="P11" s="5" t="str">
        <x:v>Patrik</x:v>
      </x:c>
      <x:c r="Q11" s="7" t="str">
        <x:v>2026-04-30</x:v>
      </x:c>
      <x:c r="R11" s="5" t="str"/>
    </x:row>
    <x:row r="12" ht="80" customHeight="1">
      <x:c r="A12" s="2" t="s">
        <x:v>91</x:v>
      </x:c>
      <x:c r="B12" s="3" t="s">
        <x:v>92</x:v>
      </x:c>
      <x:c r="C12" s="3" t="s">
        <x:v>52</x:v>
      </x:c>
      <x:c r="D12" s="4" t="s">
        <x:v>33</x:v>
      </x:c>
      <x:c r="E12" s="3" t="s">
        <x:v>53</x:v>
      </x:c>
      <x:c r="F12" s="4" t="s">
        <x:v>80</x:v>
      </x:c>
      <x:c r="G12" s="4" t="s">
        <x:v>24</x:v>
      </x:c>
      <x:c r="H12" s="3" t="s">
        <x:v>93</x:v>
      </x:c>
      <x:c r="I12" s="3" t="s">
        <x:v>94</x:v>
      </x:c>
      <x:c r="J12" s="3" t="s">
        <x:v>95</x:v>
      </x:c>
      <x:c r="K12" s="3" t="s">
        <x:v>96</x:v>
      </x:c>
      <x:c r="L12" s="5" t="str">
        <x:v>POST /login with valid newly registered user returned 200 application/json; {"message":"Sikeres bejelentkezés.","user":{"id":13,"name":"Codex Test User","email":"codex_test_1777567180095@example.test","is_admin":false}}.</x:v>
      </x:c>
      <x:c r="M12" s="6" t="str">
        <x:v>Pass</x:v>
      </x:c>
      <x:c r="N12" s="4" t="s">
        <x:v>56</x:v>
      </x:c>
      <x:c r="O12" s="4" t="s">
        <x:v>57</x:v>
      </x:c>
      <x:c r="P12" s="5" t="str">
        <x:v>Patrik</x:v>
      </x:c>
      <x:c r="Q12" s="7" t="str">
        <x:v>2026-04-30</x:v>
      </x:c>
      <x:c r="R12" s="5" t="str"/>
    </x:row>
    <x:row r="13" ht="80" customHeight="1">
      <x:c r="A13" s="2" t="s">
        <x:v>97</x:v>
      </x:c>
      <x:c r="B13" s="3" t="s">
        <x:v>98</x:v>
      </x:c>
      <x:c r="C13" s="3" t="s">
        <x:v>52</x:v>
      </x:c>
      <x:c r="D13" s="4" t="s">
        <x:v>33</x:v>
      </x:c>
      <x:c r="E13" s="3" t="s">
        <x:v>53</x:v>
      </x:c>
      <x:c r="F13" s="4" t="s">
        <x:v>80</x:v>
      </x:c>
      <x:c r="G13" s="4" t="s">
        <x:v>24</x:v>
      </x:c>
      <x:c r="H13" s="3" t="s">
        <x:v>99</x:v>
      </x:c>
      <x:c r="I13" s="3" t="s">
        <x:v>100</x:v>
      </x:c>
      <x:c r="J13" s="3" t="s">
        <x:v>101</x:v>
      </x:c>
      <x:c r="K13" s="3" t="s">
        <x:v>102</x:v>
      </x:c>
      <x:c r="L13" s="5" t="str">
        <x:v>POST /login with invalid password returned 401 application/json; {"message":"Hibas email vagy jelszo."}.</x:v>
      </x:c>
      <x:c r="M13" s="6" t="str">
        <x:v>Pass</x:v>
      </x:c>
      <x:c r="N13" s="4" t="s">
        <x:v>56</x:v>
      </x:c>
      <x:c r="O13" s="4" t="s">
        <x:v>57</x:v>
      </x:c>
      <x:c r="P13" s="5" t="str">
        <x:v>Patrik</x:v>
      </x:c>
      <x:c r="Q13" s="7" t="str">
        <x:v>2026-04-30</x:v>
      </x:c>
      <x:c r="R13" s="5" t="str"/>
    </x:row>
    <x:row r="14" ht="80" customHeight="1">
      <x:c r="A14" s="2" t="s">
        <x:v>103</x:v>
      </x:c>
      <x:c r="B14" s="3" t="s">
        <x:v>104</x:v>
      </x:c>
      <x:c r="C14" s="3" t="s">
        <x:v>52</x:v>
      </x:c>
      <x:c r="D14" s="4" t="s">
        <x:v>33</x:v>
      </x:c>
      <x:c r="E14" s="3" t="s">
        <x:v>105</x:v>
      </x:c>
      <x:c r="F14" s="4" t="s">
        <x:v>23</x:v>
      </x:c>
      <x:c r="G14" s="4" t="s">
        <x:v>24</x:v>
      </x:c>
      <x:c r="H14" s="3" t="s">
        <x:v>106</x:v>
      </x:c>
      <x:c r="I14" s="3" t="s">
        <x:v>26</x:v>
      </x:c>
      <x:c r="J14" s="3" t="s">
        <x:v>107</x:v>
      </x:c>
      <x:c r="K14" s="3" t="s">
        <x:v>108</x:v>
      </x:c>
      <x:c r="L14" s="5" t="str">
        <x:v>Guest GET /api/user returned 401 application/json; {"message":"Bejelentkezes szukseges."}.</x:v>
      </x:c>
      <x:c r="M14" s="6" t="str">
        <x:v>Pass</x:v>
      </x:c>
      <x:c r="N14" s="4" t="s">
        <x:v>56</x:v>
      </x:c>
      <x:c r="O14" s="4" t="s">
        <x:v>57</x:v>
      </x:c>
      <x:c r="P14" s="5" t="str">
        <x:v>Patrik</x:v>
      </x:c>
      <x:c r="Q14" s="7" t="str">
        <x:v>2026-04-30</x:v>
      </x:c>
      <x:c r="R14" s="5" t="str"/>
    </x:row>
    <x:row r="15" ht="80" customHeight="1">
      <x:c r="A15" s="2" t="s">
        <x:v>109</x:v>
      </x:c>
      <x:c r="B15" s="3" t="s">
        <x:v>110</x:v>
      </x:c>
      <x:c r="C15" s="3" t="s">
        <x:v>52</x:v>
      </x:c>
      <x:c r="D15" s="4" t="s">
        <x:v>33</x:v>
      </x:c>
      <x:c r="E15" s="3" t="s">
        <x:v>105</x:v>
      </x:c>
      <x:c r="F15" s="4" t="s">
        <x:v>23</x:v>
      </x:c>
      <x:c r="G15" s="4" t="s">
        <x:v>34</x:v>
      </x:c>
      <x:c r="H15" s="3" t="s">
        <x:v>111</x:v>
      </x:c>
      <x:c r="I15" s="3" t="s">
        <x:v>26</x:v>
      </x:c>
      <x:c r="J15" s="3" t="s">
        <x:v>112</x:v>
      </x:c>
      <x:c r="K15" s="3" t="s">
        <x:v>113</x:v>
      </x:c>
      <x:c r="L15" s="5" t="str">
        <x:v>Authenticated GET /api/user returned 200 application/json with frontend user fields id/name/email/is_admin.</x:v>
      </x:c>
      <x:c r="M15" s="6" t="str">
        <x:v>Pass</x:v>
      </x:c>
      <x:c r="N15" s="4" t="s">
        <x:v>56</x:v>
      </x:c>
      <x:c r="O15" s="4" t="s">
        <x:v>57</x:v>
      </x:c>
      <x:c r="P15" s="5" t="str">
        <x:v>Patrik</x:v>
      </x:c>
      <x:c r="Q15" s="7" t="str">
        <x:v>2026-04-30</x:v>
      </x:c>
      <x:c r="R15" s="5" t="str"/>
    </x:row>
    <x:row r="16" ht="80" customHeight="1">
      <x:c r="A16" s="2" t="s">
        <x:v>114</x:v>
      </x:c>
      <x:c r="B16" s="3" t="s">
        <x:v>115</x:v>
      </x:c>
      <x:c r="C16" s="3" t="s">
        <x:v>116</x:v>
      </x:c>
      <x:c r="D16" s="4" t="s">
        <x:v>33</x:v>
      </x:c>
      <x:c r="E16" s="3" t="s">
        <x:v>117</x:v>
      </x:c>
      <x:c r="F16" s="4" t="s">
        <x:v>23</x:v>
      </x:c>
      <x:c r="G16" s="4" t="s">
        <x:v>24</x:v>
      </x:c>
      <x:c r="H16" s="3" t="s">
        <x:v>118</x:v>
      </x:c>
      <x:c r="I16" s="3" t="s">
        <x:v>26</x:v>
      </x:c>
      <x:c r="J16" s="3" t="s">
        <x:v>119</x:v>
      </x:c>
      <x:c r="K16" s="3" t="s">
        <x:v>120</x:v>
      </x:c>
      <x:c r="L16" s="5" t="str">
        <x:v>GET /api/movies returned 200 application/json; movies=7, genres=4.</x:v>
      </x:c>
      <x:c r="M16" s="6" t="str">
        <x:v>Pass</x:v>
      </x:c>
      <x:c r="N16" s="4" t="s">
        <x:v>29</x:v>
      </x:c>
      <x:c r="O16" s="4" t="s">
        <x:v>30</x:v>
      </x:c>
      <x:c r="P16" s="5" t="str">
        <x:v>Patrik</x:v>
      </x:c>
      <x:c r="Q16" s="7" t="str">
        <x:v>2026-04-30</x:v>
      </x:c>
      <x:c r="R16" s="5" t="str"/>
    </x:row>
    <x:row r="17" ht="80" customHeight="1">
      <x:c r="A17" s="2" t="s">
        <x:v>121</x:v>
      </x:c>
      <x:c r="B17" s="3" t="s">
        <x:v>122</x:v>
      </x:c>
      <x:c r="C17" s="3" t="s">
        <x:v>116</x:v>
      </x:c>
      <x:c r="D17" s="4" t="s">
        <x:v>33</x:v>
      </x:c>
      <x:c r="E17" s="3" t="s">
        <x:v>123</x:v>
      </x:c>
      <x:c r="F17" s="4" t="s">
        <x:v>23</x:v>
      </x:c>
      <x:c r="G17" s="4" t="s">
        <x:v>24</x:v>
      </x:c>
      <x:c r="H17" s="3" t="s">
        <x:v>124</x:v>
      </x:c>
      <x:c r="I17" s="3" t="s">
        <x:v>125</x:v>
      </x:c>
      <x:c r="J17" s="3" t="s">
        <x:v>126</x:v>
      </x:c>
      <x:c r="K17" s="3" t="s">
        <x:v>127</x:v>
      </x:c>
      <x:c r="L17" s="5" t="str">
        <x:v>GET /api/movies/12 returned 200 application/json; {"movie":{"title":"Avatar (2009)","movie_id":12,"genre_name":"Sci-Fi","release_date":"2024-01-01","rating":8,"duration":162,"description":"A James Cameron által rendezett epikus sci-fi kaland Pandora világában.","screenings":[{"screening_id":20,"start_time":"1.</x:v>
      </x:c>
      <x:c r="M17" s="6" t="str">
        <x:v>Pass</x:v>
      </x:c>
      <x:c r="N17" s="4" t="s">
        <x:v>29</x:v>
      </x:c>
      <x:c r="O17" s="4" t="s">
        <x:v>30</x:v>
      </x:c>
      <x:c r="P17" s="5" t="str">
        <x:v>Patrik</x:v>
      </x:c>
      <x:c r="Q17" s="7" t="str">
        <x:v>2026-04-30</x:v>
      </x:c>
      <x:c r="R17" s="5" t="str"/>
    </x:row>
    <x:row r="18" ht="80" customHeight="1">
      <x:c r="A18" s="2" t="s">
        <x:v>128</x:v>
      </x:c>
      <x:c r="B18" s="3" t="s">
        <x:v>129</x:v>
      </x:c>
      <x:c r="C18" s="3" t="s">
        <x:v>116</x:v>
      </x:c>
      <x:c r="D18" s="4" t="s">
        <x:v>33</x:v>
      </x:c>
      <x:c r="E18" s="3" t="s">
        <x:v>123</x:v>
      </x:c>
      <x:c r="F18" s="4" t="s">
        <x:v>23</x:v>
      </x:c>
      <x:c r="G18" s="4" t="s">
        <x:v>24</x:v>
      </x:c>
      <x:c r="H18" s="3" t="s">
        <x:v>130</x:v>
      </x:c>
      <x:c r="I18" s="3" t="s">
        <x:v>131</x:v>
      </x:c>
      <x:c r="J18" s="3" t="s">
        <x:v>132</x:v>
      </x:c>
      <x:c r="K18" s="3" t="s">
        <x:v>133</x:v>
      </x:c>
      <x:c r="L18" s="5" t="str">
        <x:v>GET /api/movies/99999999 returned 500 JSON: "Attempt to read property title on null"; expected 404 Not Found.</x:v>
      </x:c>
      <x:c r="M18" s="6" t="str">
        <x:v>Fail</x:v>
      </x:c>
      <x:c r="N18" s="4" t="s">
        <x:v>29</x:v>
      </x:c>
      <x:c r="O18" s="4" t="s">
        <x:v>30</x:v>
      </x:c>
      <x:c r="P18" s="5" t="str">
        <x:v>Patrik</x:v>
      </x:c>
      <x:c r="Q18" s="7" t="str">
        <x:v>2026-04-30</x:v>
      </x:c>
      <x:c r="R18" s="5" t="str"/>
    </x:row>
    <x:row r="19" ht="80" customHeight="1">
      <x:c r="A19" s="2" t="s">
        <x:v>134</x:v>
      </x:c>
      <x:c r="B19" s="3" t="s">
        <x:v>135</x:v>
      </x:c>
      <x:c r="C19" s="3" t="s">
        <x:v>136</x:v>
      </x:c>
      <x:c r="D19" s="4" t="s">
        <x:v>33</x:v>
      </x:c>
      <x:c r="E19" s="3" t="s">
        <x:v>137</x:v>
      </x:c>
      <x:c r="F19" s="4" t="s">
        <x:v>80</x:v>
      </x:c>
      <x:c r="G19" s="4" t="s">
        <x:v>24</x:v>
      </x:c>
      <x:c r="H19" s="3" t="s">
        <x:v>62</x:v>
      </x:c>
      <x:c r="I19" s="3" t="s">
        <x:v>138</x:v>
      </x:c>
      <x:c r="J19" s="3" t="s">
        <x:v>139</x:v>
      </x:c>
      <x:c r="K19" s="3" t="s">
        <x:v>140</x:v>
      </x:c>
      <x:c r="L19" s="5" t="str">
        <x:v>Guest POST /api/ticket_orders with CSRF but no login returned 401 application/json; {"message":"Bejelentkezes szukseges."}.</x:v>
      </x:c>
      <x:c r="M19" s="6" t="str">
        <x:v>Pass</x:v>
      </x:c>
      <x:c r="N19" s="4" t="s">
        <x:v>56</x:v>
      </x:c>
      <x:c r="O19" s="4" t="s">
        <x:v>57</x:v>
      </x:c>
      <x:c r="P19" s="5" t="str">
        <x:v>Patrik</x:v>
      </x:c>
      <x:c r="Q19" s="7" t="str">
        <x:v>2026-04-30</x:v>
      </x:c>
      <x:c r="R19" s="5" t="str"/>
    </x:row>
    <x:row r="20" ht="80" customHeight="1">
      <x:c r="A20" s="2" t="s">
        <x:v>141</x:v>
      </x:c>
      <x:c r="B20" s="3" t="s">
        <x:v>142</x:v>
      </x:c>
      <x:c r="C20" s="3" t="s">
        <x:v>136</x:v>
      </x:c>
      <x:c r="D20" s="4" t="s">
        <x:v>33</x:v>
      </x:c>
      <x:c r="E20" s="3" t="s">
        <x:v>137</x:v>
      </x:c>
      <x:c r="F20" s="4" t="s">
        <x:v>80</x:v>
      </x:c>
      <x:c r="G20" s="4" t="s">
        <x:v>34</x:v>
      </x:c>
      <x:c r="H20" s="3" t="s">
        <x:v>143</x:v>
      </x:c>
      <x:c r="I20" s="3" t="s">
        <x:v>144</x:v>
      </x:c>
      <x:c r="J20" s="3" t="s">
        <x:v>145</x:v>
      </x:c>
      <x:c r="K20" s="3" t="s">
        <x:v>146</x:v>
      </x:c>
      <x:c r="L20" s="5" t="str">
        <x:v>Authenticated POST /api/ticket_orders using screening_id=20, seat_id=901, price_id=6 returned 201 application/json; {"ticket_order_id":2,"message":"Sikeres foglalas."}.</x:v>
      </x:c>
      <x:c r="M20" s="6" t="str">
        <x:v>Pass</x:v>
      </x:c>
      <x:c r="N20" s="4" t="s">
        <x:v>56</x:v>
      </x:c>
      <x:c r="O20" s="4" t="s">
        <x:v>57</x:v>
      </x:c>
      <x:c r="P20" s="5" t="str">
        <x:v>Patrik</x:v>
      </x:c>
      <x:c r="Q20" s="7" t="str">
        <x:v>2026-04-30</x:v>
      </x:c>
      <x:c r="R20" s="5" t="str"/>
    </x:row>
    <x:row r="21" ht="80" customHeight="1">
      <x:c r="A21" s="2" t="s">
        <x:v>147</x:v>
      </x:c>
      <x:c r="B21" s="3" t="s">
        <x:v>148</x:v>
      </x:c>
      <x:c r="C21" s="3" t="s">
        <x:v>136</x:v>
      </x:c>
      <x:c r="D21" s="4" t="s">
        <x:v>33</x:v>
      </x:c>
      <x:c r="E21" s="3" t="s">
        <x:v>137</x:v>
      </x:c>
      <x:c r="F21" s="4" t="s">
        <x:v>80</x:v>
      </x:c>
      <x:c r="G21" s="4" t="s">
        <x:v>34</x:v>
      </x:c>
      <x:c r="H21" s="3" t="s">
        <x:v>149</x:v>
      </x:c>
      <x:c r="I21" s="3" t="s">
        <x:v>150</x:v>
      </x:c>
      <x:c r="J21" s="3" t="s">
        <x:v>151</x:v>
      </x:c>
      <x:c r="K21" s="3" t="s">
        <x:v>152</x:v>
      </x:c>
      <x:c r="L21" s="5" t="str">
        <x:v>POST /api/ticket_orders missing screening_id returned 422 application/json; {"errors":{"screening_id":["The screening id field is required."]}}.</x:v>
      </x:c>
      <x:c r="M21" s="6" t="str">
        <x:v>Pass</x:v>
      </x:c>
      <x:c r="N21" s="4" t="s">
        <x:v>56</x:v>
      </x:c>
      <x:c r="O21" s="4" t="s">
        <x:v>57</x:v>
      </x:c>
      <x:c r="P21" s="5" t="str">
        <x:v>Patrik</x:v>
      </x:c>
      <x:c r="Q21" s="7" t="str">
        <x:v>2026-04-30</x:v>
      </x:c>
      <x:c r="R21" s="5" t="str"/>
    </x:row>
    <x:row r="22" ht="80" customHeight="1">
      <x:c r="A22" s="2" t="s">
        <x:v>153</x:v>
      </x:c>
      <x:c r="B22" s="3" t="s">
        <x:v>154</x:v>
      </x:c>
      <x:c r="C22" s="3" t="s">
        <x:v>136</x:v>
      </x:c>
      <x:c r="D22" s="4" t="s">
        <x:v>33</x:v>
      </x:c>
      <x:c r="E22" s="3" t="s">
        <x:v>137</x:v>
      </x:c>
      <x:c r="F22" s="4" t="s">
        <x:v>80</x:v>
      </x:c>
      <x:c r="G22" s="4" t="s">
        <x:v>34</x:v>
      </x:c>
      <x:c r="H22" s="3" t="s">
        <x:v>155</x:v>
      </x:c>
      <x:c r="I22" s="3" t="s">
        <x:v>156</x:v>
      </x:c>
      <x:c r="J22" s="3" t="s">
        <x:v>157</x:v>
      </x:c>
      <x:c r="K22" s="3" t="s">
        <x:v>158</x:v>
      </x:c>
      <x:c r="L22" s="5" t="str">
        <x:v>Second POST for same screening/seat returned 409 application/json; {"errors":["Seat occupied"]}.</x:v>
      </x:c>
      <x:c r="M22" s="6" t="str">
        <x:v>Pass</x:v>
      </x:c>
      <x:c r="N22" s="4" t="s">
        <x:v>56</x:v>
      </x:c>
      <x:c r="O22" s="4" t="s">
        <x:v>57</x:v>
      </x:c>
      <x:c r="P22" s="5" t="str">
        <x:v>Patrik</x:v>
      </x:c>
      <x:c r="Q22" s="7" t="str">
        <x:v>2026-04-30</x:v>
      </x:c>
      <x:c r="R22" s="5" t="str"/>
    </x:row>
    <x:row r="23" ht="80" customHeight="1">
      <x:c r="A23" s="2" t="s">
        <x:v>159</x:v>
      </x:c>
      <x:c r="B23" s="3" t="s">
        <x:v>160</x:v>
      </x:c>
      <x:c r="C23" s="3" t="s">
        <x:v>136</x:v>
      </x:c>
      <x:c r="D23" s="4" t="s">
        <x:v>33</x:v>
      </x:c>
      <x:c r="E23" s="3" t="s">
        <x:v>137</x:v>
      </x:c>
      <x:c r="F23" s="4" t="s">
        <x:v>23</x:v>
      </x:c>
      <x:c r="G23" s="4" t="s">
        <x:v>24</x:v>
      </x:c>
      <x:c r="H23" s="3" t="s">
        <x:v>62</x:v>
      </x:c>
      <x:c r="I23" s="3" t="s">
        <x:v>26</x:v>
      </x:c>
      <x:c r="J23" s="3" t="s">
        <x:v>161</x:v>
      </x:c>
      <x:c r="K23" s="3" t="s">
        <x:v>162</x:v>
      </x:c>
      <x:c r="L23" s="5" t="str">
        <x:v>Guest GET /api/ticket_orders returned 401 application/json; {"message":"Bejelentkezes szukseges."}.</x:v>
      </x:c>
      <x:c r="M23" s="6" t="str">
        <x:v>Pass</x:v>
      </x:c>
      <x:c r="N23" s="4" t="s">
        <x:v>56</x:v>
      </x:c>
      <x:c r="O23" s="4" t="s">
        <x:v>57</x:v>
      </x:c>
      <x:c r="P23" s="5" t="str">
        <x:v>Patrik</x:v>
      </x:c>
      <x:c r="Q23" s="7" t="str">
        <x:v>2026-04-30</x:v>
      </x:c>
      <x:c r="R23" s="5" t="str"/>
    </x:row>
    <x:row r="24" ht="80" customHeight="1">
      <x:c r="A24" s="2" t="s">
        <x:v>163</x:v>
      </x:c>
      <x:c r="B24" s="3" t="s">
        <x:v>164</x:v>
      </x:c>
      <x:c r="C24" s="3" t="s">
        <x:v>136</x:v>
      </x:c>
      <x:c r="D24" s="4" t="s">
        <x:v>33</x:v>
      </x:c>
      <x:c r="E24" s="3" t="s">
        <x:v>137</x:v>
      </x:c>
      <x:c r="F24" s="4" t="s">
        <x:v>23</x:v>
      </x:c>
      <x:c r="G24" s="4" t="s">
        <x:v>34</x:v>
      </x:c>
      <x:c r="H24" s="3" t="s">
        <x:v>149</x:v>
      </x:c>
      <x:c r="I24" s="3" t="s">
        <x:v>26</x:v>
      </x:c>
      <x:c r="J24" s="3" t="s">
        <x:v>165</x:v>
      </x:c>
      <x:c r="K24" s="3" t="s">
        <x:v>166</x:v>
      </x:c>
      <x:c r="L24" s="5" t="str">
        <x:v>Non-admin GET /api/ticket_orders returned 200 application/json. Endpoint is accessible to a normal user and returns ticket_orders, so this is a security defect.</x:v>
      </x:c>
      <x:c r="M24" s="6" t="str">
        <x:v>Fail</x:v>
      </x:c>
      <x:c r="N24" s="4" t="s">
        <x:v>56</x:v>
      </x:c>
      <x:c r="O24" s="4" t="s">
        <x:v>57</x:v>
      </x:c>
      <x:c r="P24" s="5" t="str">
        <x:v>Patrik</x:v>
      </x:c>
      <x:c r="Q24" s="7" t="str">
        <x:v>2026-04-30</x:v>
      </x:c>
      <x:c r="R24" s="5" t="str"/>
    </x:row>
    <x:row r="25" ht="80" customHeight="1">
      <x:c r="A25" s="2" t="s">
        <x:v>167</x:v>
      </x:c>
      <x:c r="B25" s="3" t="s">
        <x:v>168</x:v>
      </x:c>
      <x:c r="C25" s="3" t="s">
        <x:v>67</x:v>
      </x:c>
      <x:c r="D25" s="4" t="s">
        <x:v>33</x:v>
      </x:c>
      <x:c r="E25" s="3" t="s">
        <x:v>169</x:v>
      </x:c>
      <x:c r="F25" s="4" t="s">
        <x:v>23</x:v>
      </x:c>
      <x:c r="G25" s="4" t="s">
        <x:v>34</x:v>
      </x:c>
      <x:c r="H25" s="3" t="s">
        <x:v>170</x:v>
      </x:c>
      <x:c r="I25" s="3" t="s">
        <x:v>26</x:v>
      </x:c>
      <x:c r="J25" s="3" t="s">
        <x:v>171</x:v>
      </x:c>
      <x:c r="K25" s="3" t="s">
        <x:v>172</x:v>
      </x:c>
      <x:c r="L25" s="5" t="str">
        <x:v>Authenticated GET /api/profile/ticket_orders returned 200 application/json; current user's created order 2 is present.</x:v>
      </x:c>
      <x:c r="M25" s="6" t="str">
        <x:v>Pass</x:v>
      </x:c>
      <x:c r="N25" s="4" t="s">
        <x:v>29</x:v>
      </x:c>
      <x:c r="O25" s="4" t="s">
        <x:v>30</x:v>
      </x:c>
      <x:c r="P25" s="5" t="str">
        <x:v>Patrik</x:v>
      </x:c>
      <x:c r="Q25" s="7" t="str">
        <x:v>2026-04-30</x:v>
      </x:c>
      <x:c r="R25" s="5" t="str"/>
    </x:row>
    <x:row r="26" ht="80" customHeight="1">
      <x:c r="A26" s="2" t="s">
        <x:v>173</x:v>
      </x:c>
      <x:c r="B26" s="3" t="s">
        <x:v>174</x:v>
      </x:c>
      <x:c r="C26" s="3" t="s">
        <x:v>67</x:v>
      </x:c>
      <x:c r="D26" s="4" t="s">
        <x:v>33</x:v>
      </x:c>
      <x:c r="E26" s="3" t="s">
        <x:v>169</x:v>
      </x:c>
      <x:c r="F26" s="4" t="s">
        <x:v>23</x:v>
      </x:c>
      <x:c r="G26" s="4" t="s">
        <x:v>24</x:v>
      </x:c>
      <x:c r="H26" s="3" t="s">
        <x:v>62</x:v>
      </x:c>
      <x:c r="I26" s="3" t="s">
        <x:v>26</x:v>
      </x:c>
      <x:c r="J26" s="3" t="s">
        <x:v>175</x:v>
      </x:c>
      <x:c r="K26" s="3" t="s">
        <x:v>162</x:v>
      </x:c>
      <x:c r="L26" s="5" t="str">
        <x:v>Guest GET /api/profile/ticket_orders returned 401 application/json; {"message":"Bejelentkezes szukseges."}.</x:v>
      </x:c>
      <x:c r="M26" s="6" t="str">
        <x:v>Pass</x:v>
      </x:c>
      <x:c r="N26" s="4" t="s">
        <x:v>29</x:v>
      </x:c>
      <x:c r="O26" s="4" t="s">
        <x:v>30</x:v>
      </x:c>
      <x:c r="P26" s="5" t="str">
        <x:v>Patrik</x:v>
      </x:c>
      <x:c r="Q26" s="7" t="str">
        <x:v>2026-04-30</x:v>
      </x:c>
      <x:c r="R26" s="5" t="str"/>
    </x:row>
    <x:row r="27" ht="80" customHeight="1">
      <x:c r="A27" s="2" t="s">
        <x:v>176</x:v>
      </x:c>
      <x:c r="B27" s="3" t="s">
        <x:v>177</x:v>
      </x:c>
      <x:c r="C27" s="3" t="s">
        <x:v>178</x:v>
      </x:c>
      <x:c r="D27" s="4" t="s">
        <x:v>33</x:v>
      </x:c>
      <x:c r="E27" s="3" t="s">
        <x:v>179</x:v>
      </x:c>
      <x:c r="F27" s="4" t="s">
        <x:v>23</x:v>
      </x:c>
      <x:c r="G27" s="4" t="s">
        <x:v>34</x:v>
      </x:c>
      <x:c r="H27" s="3" t="s">
        <x:v>180</x:v>
      </x:c>
      <x:c r="I27" s="3" t="s">
        <x:v>26</x:v>
      </x:c>
      <x:c r="J27" s="3" t="s">
        <x:v>181</x:v>
      </x:c>
      <x:c r="K27" s="3" t="s">
        <x:v>182</x:v>
      </x:c>
      <x:c r="L27" s="5" t="str">
        <x:v>Normal user GET /api/admin/users returned 403 application/json; {"error":"permission denied"}.</x:v>
      </x:c>
      <x:c r="M27" s="6" t="str">
        <x:v>Pass</x:v>
      </x:c>
      <x:c r="N27" s="4" t="s">
        <x:v>56</x:v>
      </x:c>
      <x:c r="O27" s="4" t="s">
        <x:v>57</x:v>
      </x:c>
      <x:c r="P27" s="5" t="str">
        <x:v>Patrik</x:v>
      </x:c>
      <x:c r="Q27" s="7" t="str">
        <x:v>2026-04-30</x:v>
      </x:c>
      <x:c r="R27" s="5" t="str"/>
    </x:row>
    <x:row r="28" ht="80" customHeight="1">
      <x:c r="A28" s="2" t="s">
        <x:v>183</x:v>
      </x:c>
      <x:c r="B28" s="3" t="s">
        <x:v>184</x:v>
      </x:c>
      <x:c r="C28" s="3" t="s">
        <x:v>178</x:v>
      </x:c>
      <x:c r="D28" s="4" t="s">
        <x:v>33</x:v>
      </x:c>
      <x:c r="E28" s="3" t="s">
        <x:v>179</x:v>
      </x:c>
      <x:c r="F28" s="4" t="s">
        <x:v>23</x:v>
      </x:c>
      <x:c r="G28" s="4" t="s">
        <x:v>24</x:v>
      </x:c>
      <x:c r="H28" s="3" t="s">
        <x:v>185</x:v>
      </x:c>
      <x:c r="I28" s="3" t="s">
        <x:v>26</x:v>
      </x:c>
      <x:c r="J28" s="3" t="s">
        <x:v>186</x:v>
      </x:c>
      <x:c r="K28" s="3" t="s">
        <x:v>162</x:v>
      </x:c>
      <x:c r="L28" s="5" t="str">
        <x:v>Guest GET /api/admin/users returned 403 application/json; {"error":"permission denied"}.</x:v>
      </x:c>
      <x:c r="M28" s="6" t="str">
        <x:v>Pass</x:v>
      </x:c>
      <x:c r="N28" s="4" t="s">
        <x:v>56</x:v>
      </x:c>
      <x:c r="O28" s="4" t="s">
        <x:v>57</x:v>
      </x:c>
      <x:c r="P28" s="5" t="str">
        <x:v>Patrik</x:v>
      </x:c>
      <x:c r="Q28" s="7" t="str">
        <x:v>2026-04-30</x:v>
      </x:c>
      <x:c r="R28" s="5" t="str"/>
    </x:row>
    <x:row r="29" ht="80" customHeight="1">
      <x:c r="A29" s="2" t="s">
        <x:v>187</x:v>
      </x:c>
      <x:c r="B29" s="3" t="s">
        <x:v>188</x:v>
      </x:c>
      <x:c r="C29" s="3" t="s">
        <x:v>189</x:v>
      </x:c>
      <x:c r="D29" s="4" t="s">
        <x:v>33</x:v>
      </x:c>
      <x:c r="E29" s="3" t="s">
        <x:v>190</x:v>
      </x:c>
      <x:c r="F29" s="4" t="s">
        <x:v>23</x:v>
      </x:c>
      <x:c r="G29" s="4" t="s">
        <x:v>191</x:v>
      </x:c>
      <x:c r="H29" s="3" t="s">
        <x:v>192</x:v>
      </x:c>
      <x:c r="I29" s="3" t="s">
        <x:v>26</x:v>
      </x:c>
      <x:c r="J29" s="3" t="s">
        <x:v>193</x:v>
      </x:c>
      <x:c r="K29" s="3" t="s">
        <x:v>194</x:v>
      </x:c>
      <x:c r="L29" s="5" t="str">
        <x:v>Admin-positive test not executed: no valid admin credentials/session were available in the provided test data; normal user and guest admin access checks returned 403 as expected.</x:v>
      </x:c>
      <x:c r="M29" s="6" t="str">
        <x:v>Blocked</x:v>
      </x:c>
      <x:c r="N29" s="4" t="s">
        <x:v>29</x:v>
      </x:c>
      <x:c r="O29" s="4" t="s">
        <x:v>30</x:v>
      </x:c>
      <x:c r="P29" s="5" t="str">
        <x:v>Patrik</x:v>
      </x:c>
      <x:c r="Q29" s="7" t="str">
        <x:v>2026-04-30</x:v>
      </x:c>
      <x:c r="R29" s="5" t="str">
        <x:v>Precondition missing: admin login.</x:v>
      </x:c>
    </x:row>
    <x:row r="30" ht="80" customHeight="1">
      <x:c r="A30" s="2" t="s">
        <x:v>195</x:v>
      </x:c>
      <x:c r="B30" s="3" t="s">
        <x:v>196</x:v>
      </x:c>
      <x:c r="C30" s="3" t="s">
        <x:v>189</x:v>
      </x:c>
      <x:c r="D30" s="4" t="s">
        <x:v>33</x:v>
      </x:c>
      <x:c r="E30" s="3" t="s">
        <x:v>190</x:v>
      </x:c>
      <x:c r="F30" s="4" t="s">
        <x:v>80</x:v>
      </x:c>
      <x:c r="G30" s="4" t="s">
        <x:v>191</x:v>
      </x:c>
      <x:c r="H30" s="3" t="s">
        <x:v>197</x:v>
      </x:c>
      <x:c r="I30" s="3" t="s">
        <x:v>198</x:v>
      </x:c>
      <x:c r="J30" s="3" t="s">
        <x:v>199</x:v>
      </x:c>
      <x:c r="K30" s="3" t="s">
        <x:v>200</x:v>
      </x:c>
      <x:c r="L30" s="5" t="str">
        <x:v>Admin-positive test not executed: no valid admin credentials/session were available in the provided test data; normal user and guest admin access checks returned 403 as expected.</x:v>
      </x:c>
      <x:c r="M30" s="6" t="str">
        <x:v>Blocked</x:v>
      </x:c>
      <x:c r="N30" s="4" t="s">
        <x:v>29</x:v>
      </x:c>
      <x:c r="O30" s="4" t="s">
        <x:v>30</x:v>
      </x:c>
      <x:c r="P30" s="5" t="str">
        <x:v>Patrik</x:v>
      </x:c>
      <x:c r="Q30" s="7" t="str">
        <x:v>2026-04-30</x:v>
      </x:c>
      <x:c r="R30" s="5" t="str">
        <x:v>Precondition missing: admin login.</x:v>
      </x:c>
    </x:row>
    <x:row r="31" ht="80" customHeight="1">
      <x:c r="A31" s="2" t="s">
        <x:v>201</x:v>
      </x:c>
      <x:c r="B31" s="3" t="s">
        <x:v>202</x:v>
      </x:c>
      <x:c r="C31" s="3" t="s">
        <x:v>189</x:v>
      </x:c>
      <x:c r="D31" s="4" t="s">
        <x:v>33</x:v>
      </x:c>
      <x:c r="E31" s="3" t="s">
        <x:v>190</x:v>
      </x:c>
      <x:c r="F31" s="4" t="s">
        <x:v>80</x:v>
      </x:c>
      <x:c r="G31" s="4" t="s">
        <x:v>191</x:v>
      </x:c>
      <x:c r="H31" s="3" t="s">
        <x:v>203</x:v>
      </x:c>
      <x:c r="I31" s="3" t="s">
        <x:v>204</x:v>
      </x:c>
      <x:c r="J31" s="3" t="s">
        <x:v>205</x:v>
      </x:c>
      <x:c r="K31" s="3" t="s">
        <x:v>206</x:v>
      </x:c>
      <x:c r="L31" s="5" t="str">
        <x:v>Admin-positive test not executed: no valid admin credentials/session were available in the provided test data; normal user and guest admin access checks returned 403 as expected.</x:v>
      </x:c>
      <x:c r="M31" s="6" t="str">
        <x:v>Blocked</x:v>
      </x:c>
      <x:c r="N31" s="4" t="s">
        <x:v>29</x:v>
      </x:c>
      <x:c r="O31" s="4" t="s">
        <x:v>30</x:v>
      </x:c>
      <x:c r="P31" s="5" t="str">
        <x:v>Patrik</x:v>
      </x:c>
      <x:c r="Q31" s="7" t="str">
        <x:v>2026-04-30</x:v>
      </x:c>
      <x:c r="R31" s="5" t="str">
        <x:v>Precondition missing: admin login.</x:v>
      </x:c>
    </x:row>
    <x:row r="32" ht="80" customHeight="1">
      <x:c r="A32" s="2" t="s">
        <x:v>207</x:v>
      </x:c>
      <x:c r="B32" s="3" t="s">
        <x:v>208</x:v>
      </x:c>
      <x:c r="C32" s="3" t="s">
        <x:v>209</x:v>
      </x:c>
      <x:c r="D32" s="4" t="s">
        <x:v>33</x:v>
      </x:c>
      <x:c r="E32" s="3" t="s">
        <x:v>210</x:v>
      </x:c>
      <x:c r="F32" s="4" t="s">
        <x:v>23</x:v>
      </x:c>
      <x:c r="G32" s="4" t="s">
        <x:v>191</x:v>
      </x:c>
      <x:c r="H32" s="3" t="s">
        <x:v>192</x:v>
      </x:c>
      <x:c r="I32" s="3" t="s">
        <x:v>26</x:v>
      </x:c>
      <x:c r="J32" s="3" t="s">
        <x:v>211</x:v>
      </x:c>
      <x:c r="K32" s="3" t="s">
        <x:v>212</x:v>
      </x:c>
      <x:c r="L32" s="5" t="str">
        <x:v>Admin-positive test not executed: no valid admin credentials/session were available in the provided test data; normal user and guest admin access checks returned 403 as expected.</x:v>
      </x:c>
      <x:c r="M32" s="6" t="str">
        <x:v>Blocked</x:v>
      </x:c>
      <x:c r="N32" s="4" t="s">
        <x:v>29</x:v>
      </x:c>
      <x:c r="O32" s="4" t="s">
        <x:v>30</x:v>
      </x:c>
      <x:c r="P32" s="5" t="str">
        <x:v>Patrik</x:v>
      </x:c>
      <x:c r="Q32" s="7" t="str">
        <x:v>2026-04-30</x:v>
      </x:c>
      <x:c r="R32" s="5" t="str">
        <x:v>Precondition missing: admin login.</x:v>
      </x:c>
    </x:row>
    <x:row r="33" ht="80" customHeight="1">
      <x:c r="A33" s="2" t="s">
        <x:v>213</x:v>
      </x:c>
      <x:c r="B33" s="3" t="s">
        <x:v>214</x:v>
      </x:c>
      <x:c r="C33" s="3" t="s">
        <x:v>209</x:v>
      </x:c>
      <x:c r="D33" s="4" t="s">
        <x:v>33</x:v>
      </x:c>
      <x:c r="E33" s="3" t="s">
        <x:v>210</x:v>
      </x:c>
      <x:c r="F33" s="4" t="s">
        <x:v>80</x:v>
      </x:c>
      <x:c r="G33" s="4" t="s">
        <x:v>191</x:v>
      </x:c>
      <x:c r="H33" s="3" t="s">
        <x:v>215</x:v>
      </x:c>
      <x:c r="I33" s="3" t="s">
        <x:v>216</x:v>
      </x:c>
      <x:c r="J33" s="3" t="s">
        <x:v>217</x:v>
      </x:c>
      <x:c r="K33" s="3" t="s">
        <x:v>218</x:v>
      </x:c>
      <x:c r="L33" s="5" t="str">
        <x:v>Admin-positive test not executed: no valid admin credentials/session were available in the provided test data; normal user and guest admin access checks returned 403 as expected.</x:v>
      </x:c>
      <x:c r="M33" s="6" t="str">
        <x:v>Blocked</x:v>
      </x:c>
      <x:c r="N33" s="4" t="s">
        <x:v>29</x:v>
      </x:c>
      <x:c r="O33" s="4" t="s">
        <x:v>30</x:v>
      </x:c>
      <x:c r="P33" s="5" t="str">
        <x:v>Patrik</x:v>
      </x:c>
      <x:c r="Q33" s="7" t="str">
        <x:v>2026-04-30</x:v>
      </x:c>
      <x:c r="R33" s="5" t="str">
        <x:v>Precondition missing: admin login.</x:v>
      </x:c>
    </x:row>
    <x:row r="34" ht="80" customHeight="1">
      <x:c r="A34" s="2" t="s">
        <x:v>219</x:v>
      </x:c>
      <x:c r="B34" s="3" t="s">
        <x:v>220</x:v>
      </x:c>
      <x:c r="C34" s="3" t="s">
        <x:v>209</x:v>
      </x:c>
      <x:c r="D34" s="4" t="s">
        <x:v>33</x:v>
      </x:c>
      <x:c r="E34" s="3" t="s">
        <x:v>210</x:v>
      </x:c>
      <x:c r="F34" s="4" t="s">
        <x:v>80</x:v>
      </x:c>
      <x:c r="G34" s="4" t="s">
        <x:v>191</x:v>
      </x:c>
      <x:c r="H34" s="3" t="s">
        <x:v>192</x:v>
      </x:c>
      <x:c r="I34" s="3" t="s">
        <x:v>221</x:v>
      </x:c>
      <x:c r="J34" s="3" t="s">
        <x:v>222</x:v>
      </x:c>
      <x:c r="K34" s="3" t="s">
        <x:v>223</x:v>
      </x:c>
      <x:c r="L34" s="5" t="str">
        <x:v>Admin-positive test not executed: no valid admin credentials/session were available in the provided test data; normal user and guest admin access checks returned 403 as expected.</x:v>
      </x:c>
      <x:c r="M34" s="6" t="str">
        <x:v>Blocked</x:v>
      </x:c>
      <x:c r="N34" s="4" t="s">
        <x:v>29</x:v>
      </x:c>
      <x:c r="O34" s="4" t="s">
        <x:v>30</x:v>
      </x:c>
      <x:c r="P34" s="5" t="str">
        <x:v>Patrik</x:v>
      </x:c>
      <x:c r="Q34" s="7" t="str">
        <x:v>2026-04-30</x:v>
      </x:c>
      <x:c r="R34" s="5" t="str">
        <x:v>Precondition missing: admin login.</x:v>
      </x:c>
    </x:row>
    <x:row r="35" ht="80" customHeight="1">
      <x:c r="A35" s="2" t="s">
        <x:v>224</x:v>
      </x:c>
      <x:c r="B35" s="3" t="s">
        <x:v>225</x:v>
      </x:c>
      <x:c r="C35" s="3" t="s">
        <x:v>209</x:v>
      </x:c>
      <x:c r="D35" s="4" t="s">
        <x:v>33</x:v>
      </x:c>
      <x:c r="E35" s="3" t="s">
        <x:v>226</x:v>
      </x:c>
      <x:c r="F35" s="4" t="s">
        <x:v>227</x:v>
      </x:c>
      <x:c r="G35" s="4" t="s">
        <x:v>191</x:v>
      </x:c>
      <x:c r="H35" s="3" t="s">
        <x:v>228</x:v>
      </x:c>
      <x:c r="I35" s="3" t="s">
        <x:v>229</x:v>
      </x:c>
      <x:c r="J35" s="3" t="s">
        <x:v>230</x:v>
      </x:c>
      <x:c r="K35" s="3" t="s">
        <x:v>231</x:v>
      </x:c>
      <x:c r="L35" s="5" t="str">
        <x:v>Admin-positive test not executed: no valid admin credentials/session were available in the provided test data; normal user and guest admin access checks returned 403 as expected.</x:v>
      </x:c>
      <x:c r="M35" s="6" t="str">
        <x:v>Blocked</x:v>
      </x:c>
      <x:c r="N35" s="4" t="s">
        <x:v>29</x:v>
      </x:c>
      <x:c r="O35" s="4" t="s">
        <x:v>30</x:v>
      </x:c>
      <x:c r="P35" s="5" t="str">
        <x:v>Patrik</x:v>
      </x:c>
      <x:c r="Q35" s="7" t="str">
        <x:v>2026-04-30</x:v>
      </x:c>
      <x:c r="R35" s="5" t="str">
        <x:v>Precondition missing: admin login.</x:v>
      </x:c>
    </x:row>
    <x:row r="36" ht="80" customHeight="1">
      <x:c r="A36" s="2" t="s">
        <x:v>232</x:v>
      </x:c>
      <x:c r="B36" s="3" t="s">
        <x:v>233</x:v>
      </x:c>
      <x:c r="C36" s="3" t="s">
        <x:v>234</x:v>
      </x:c>
      <x:c r="D36" s="4" t="s">
        <x:v>33</x:v>
      </x:c>
      <x:c r="E36" s="3" t="s">
        <x:v>235</x:v>
      </x:c>
      <x:c r="F36" s="4" t="s">
        <x:v>23</x:v>
      </x:c>
      <x:c r="G36" s="4" t="s">
        <x:v>191</x:v>
      </x:c>
      <x:c r="H36" s="3" t="s">
        <x:v>192</x:v>
      </x:c>
      <x:c r="I36" s="3" t="s">
        <x:v>26</x:v>
      </x:c>
      <x:c r="J36" s="3" t="s">
        <x:v>236</x:v>
      </x:c>
      <x:c r="K36" s="3" t="s">
        <x:v>237</x:v>
      </x:c>
      <x:c r="L36" s="5" t="str">
        <x:v>Admin-positive test not executed: no valid admin credentials/session were available in the provided test data; normal user and guest admin access checks returned 403 as expected.</x:v>
      </x:c>
      <x:c r="M36" s="6" t="str">
        <x:v>Blocked</x:v>
      </x:c>
      <x:c r="N36" s="4" t="s">
        <x:v>29</x:v>
      </x:c>
      <x:c r="O36" s="4" t="s">
        <x:v>30</x:v>
      </x:c>
      <x:c r="P36" s="5" t="str">
        <x:v>Patrik</x:v>
      </x:c>
      <x:c r="Q36" s="7" t="str">
        <x:v>2026-04-30</x:v>
      </x:c>
      <x:c r="R36" s="5" t="str">
        <x:v>Precondition missing: admin login.</x:v>
      </x:c>
    </x:row>
    <x:row r="37" ht="80" customHeight="1">
      <x:c r="A37" s="2" t="s">
        <x:v>238</x:v>
      </x:c>
      <x:c r="B37" s="3" t="s">
        <x:v>239</x:v>
      </x:c>
      <x:c r="C37" s="3" t="s">
        <x:v>234</x:v>
      </x:c>
      <x:c r="D37" s="4" t="s">
        <x:v>33</x:v>
      </x:c>
      <x:c r="E37" s="3" t="s">
        <x:v>235</x:v>
      </x:c>
      <x:c r="F37" s="4" t="s">
        <x:v>80</x:v>
      </x:c>
      <x:c r="G37" s="4" t="s">
        <x:v>191</x:v>
      </x:c>
      <x:c r="H37" s="3" t="s">
        <x:v>240</x:v>
      </x:c>
      <x:c r="I37" s="3" t="s">
        <x:v>241</x:v>
      </x:c>
      <x:c r="J37" s="3" t="s">
        <x:v>242</x:v>
      </x:c>
      <x:c r="K37" s="3" t="s">
        <x:v>243</x:v>
      </x:c>
      <x:c r="L37" s="5" t="str">
        <x:v>Admin-positive test not executed: no valid admin credentials/session were available in the provided test data; normal user and guest admin access checks returned 403 as expected.</x:v>
      </x:c>
      <x:c r="M37" s="6" t="str">
        <x:v>Blocked</x:v>
      </x:c>
      <x:c r="N37" s="4" t="s">
        <x:v>29</x:v>
      </x:c>
      <x:c r="O37" s="4" t="s">
        <x:v>30</x:v>
      </x:c>
      <x:c r="P37" s="5" t="str">
        <x:v>Patrik</x:v>
      </x:c>
      <x:c r="Q37" s="7" t="str">
        <x:v>2026-04-30</x:v>
      </x:c>
      <x:c r="R37" s="5" t="str">
        <x:v>Precondition missing: admin login.</x:v>
      </x:c>
    </x:row>
    <x:row r="38" ht="80" customHeight="1">
      <x:c r="A38" s="2" t="s">
        <x:v>244</x:v>
      </x:c>
      <x:c r="B38" s="3" t="s">
        <x:v>245</x:v>
      </x:c>
      <x:c r="C38" s="3" t="s">
        <x:v>234</x:v>
      </x:c>
      <x:c r="D38" s="4" t="s">
        <x:v>33</x:v>
      </x:c>
      <x:c r="E38" s="3" t="s">
        <x:v>235</x:v>
      </x:c>
      <x:c r="F38" s="4" t="s">
        <x:v>80</x:v>
      </x:c>
      <x:c r="G38" s="4" t="s">
        <x:v>191</x:v>
      </x:c>
      <x:c r="H38" s="3" t="s">
        <x:v>192</x:v>
      </x:c>
      <x:c r="I38" s="3" t="s">
        <x:v>246</x:v>
      </x:c>
      <x:c r="J38" s="3" t="s">
        <x:v>247</x:v>
      </x:c>
      <x:c r="K38" s="3" t="s">
        <x:v>248</x:v>
      </x:c>
      <x:c r="L38" s="5" t="str">
        <x:v>Admin-positive test not executed: no valid admin credentials/session were available in the provided test data; normal user and guest admin access checks returned 403 as expected.</x:v>
      </x:c>
      <x:c r="M38" s="6" t="str">
        <x:v>Blocked</x:v>
      </x:c>
      <x:c r="N38" s="4" t="s">
        <x:v>29</x:v>
      </x:c>
      <x:c r="O38" s="4" t="s">
        <x:v>30</x:v>
      </x:c>
      <x:c r="P38" s="5" t="str">
        <x:v>Patrik</x:v>
      </x:c>
      <x:c r="Q38" s="7" t="str">
        <x:v>2026-04-30</x:v>
      </x:c>
      <x:c r="R38" s="5" t="str">
        <x:v>Precondition missing: admin login.</x:v>
      </x:c>
    </x:row>
    <x:row r="39" ht="80" customHeight="1">
      <x:c r="A39" s="2" t="s">
        <x:v>249</x:v>
      </x:c>
      <x:c r="B39" s="3" t="s">
        <x:v>250</x:v>
      </x:c>
      <x:c r="C39" s="3" t="s">
        <x:v>251</x:v>
      </x:c>
      <x:c r="D39" s="4" t="s">
        <x:v>33</x:v>
      </x:c>
      <x:c r="E39" s="3" t="s">
        <x:v>252</x:v>
      </x:c>
      <x:c r="F39" s="4" t="s">
        <x:v>23</x:v>
      </x:c>
      <x:c r="G39" s="4" t="s">
        <x:v>191</x:v>
      </x:c>
      <x:c r="H39" s="3" t="s">
        <x:v>192</x:v>
      </x:c>
      <x:c r="I39" s="3" t="s">
        <x:v>26</x:v>
      </x:c>
      <x:c r="J39" s="3" t="s">
        <x:v>253</x:v>
      </x:c>
      <x:c r="K39" s="3" t="s">
        <x:v>254</x:v>
      </x:c>
      <x:c r="L39" s="5" t="str">
        <x:v>Admin-positive test not executed: no valid admin credentials/session were available in the provided test data; normal user and guest admin access checks returned 403 as expected.</x:v>
      </x:c>
      <x:c r="M39" s="6" t="str">
        <x:v>Blocked</x:v>
      </x:c>
      <x:c r="N39" s="4" t="s">
        <x:v>29</x:v>
      </x:c>
      <x:c r="O39" s="4" t="s">
        <x:v>30</x:v>
      </x:c>
      <x:c r="P39" s="5" t="str">
        <x:v>Patrik</x:v>
      </x:c>
      <x:c r="Q39" s="7" t="str">
        <x:v>2026-04-30</x:v>
      </x:c>
      <x:c r="R39" s="5" t="str">
        <x:v>Precondition missing: admin login.</x:v>
      </x:c>
    </x:row>
    <x:row r="40" ht="80" customHeight="1">
      <x:c r="A40" s="2" t="s">
        <x:v>255</x:v>
      </x:c>
      <x:c r="B40" s="3" t="s">
        <x:v>256</x:v>
      </x:c>
      <x:c r="C40" s="3" t="s">
        <x:v>251</x:v>
      </x:c>
      <x:c r="D40" s="4" t="s">
        <x:v>33</x:v>
      </x:c>
      <x:c r="E40" s="3" t="s">
        <x:v>252</x:v>
      </x:c>
      <x:c r="F40" s="4" t="s">
        <x:v>80</x:v>
      </x:c>
      <x:c r="G40" s="4" t="s">
        <x:v>191</x:v>
      </x:c>
      <x:c r="H40" s="3" t="s">
        <x:v>192</x:v>
      </x:c>
      <x:c r="I40" s="3" t="s">
        <x:v>257</x:v>
      </x:c>
      <x:c r="J40" s="3" t="s">
        <x:v>258</x:v>
      </x:c>
      <x:c r="K40" s="3" t="s">
        <x:v>259</x:v>
      </x:c>
      <x:c r="L40" s="5" t="str">
        <x:v>Admin-positive test not executed: no valid admin credentials/session were available in the provided test data; normal user and guest admin access checks returned 403 as expected.</x:v>
      </x:c>
      <x:c r="M40" s="6" t="str">
        <x:v>Blocked</x:v>
      </x:c>
      <x:c r="N40" s="4" t="s">
        <x:v>29</x:v>
      </x:c>
      <x:c r="O40" s="4" t="s">
        <x:v>30</x:v>
      </x:c>
      <x:c r="P40" s="5" t="str">
        <x:v>Patrik</x:v>
      </x:c>
      <x:c r="Q40" s="7" t="str">
        <x:v>2026-04-30</x:v>
      </x:c>
      <x:c r="R40" s="5" t="str">
        <x:v>Precondition missing: admin login.</x:v>
      </x:c>
    </x:row>
    <x:row r="41" ht="80" customHeight="1">
      <x:c r="A41" s="2" t="s">
        <x:v>260</x:v>
      </x:c>
      <x:c r="B41" s="3" t="s">
        <x:v>261</x:v>
      </x:c>
      <x:c r="C41" s="3" t="s">
        <x:v>251</x:v>
      </x:c>
      <x:c r="D41" s="4" t="s">
        <x:v>33</x:v>
      </x:c>
      <x:c r="E41" s="3" t="s">
        <x:v>262</x:v>
      </x:c>
      <x:c r="F41" s="4" t="s">
        <x:v>227</x:v>
      </x:c>
      <x:c r="G41" s="4" t="s">
        <x:v>191</x:v>
      </x:c>
      <x:c r="H41" s="3" t="s">
        <x:v>263</x:v>
      </x:c>
      <x:c r="I41" s="3" t="s">
        <x:v>264</x:v>
      </x:c>
      <x:c r="J41" s="3" t="s">
        <x:v>265</x:v>
      </x:c>
      <x:c r="K41" s="3" t="s">
        <x:v>266</x:v>
      </x:c>
      <x:c r="L41" s="5" t="str">
        <x:v>Admin-positive test not executed: no valid admin credentials/session were available in the provided test data; normal user and guest admin access checks returned 403 as expected.</x:v>
      </x:c>
      <x:c r="M41" s="6" t="str">
        <x:v>Blocked</x:v>
      </x:c>
      <x:c r="N41" s="4" t="s">
        <x:v>29</x:v>
      </x:c>
      <x:c r="O41" s="4" t="s">
        <x:v>30</x:v>
      </x:c>
      <x:c r="P41" s="5" t="str">
        <x:v>Patrik</x:v>
      </x:c>
      <x:c r="Q41" s="7" t="str">
        <x:v>2026-04-30</x:v>
      </x:c>
      <x:c r="R41" s="5" t="str">
        <x:v>Precondition missing: admin login.</x:v>
      </x:c>
    </x:row>
    <x:row r="42" ht="80" customHeight="1">
      <x:c r="A42" s="2" t="s">
        <x:v>267</x:v>
      </x:c>
      <x:c r="B42" s="3" t="s">
        <x:v>268</x:v>
      </x:c>
      <x:c r="C42" s="3" t="s">
        <x:v>251</x:v>
      </x:c>
      <x:c r="D42" s="4" t="s">
        <x:v>33</x:v>
      </x:c>
      <x:c r="E42" s="3" t="s">
        <x:v>269</x:v>
      </x:c>
      <x:c r="F42" s="4" t="s">
        <x:v>23</x:v>
      </x:c>
      <x:c r="G42" s="4" t="s">
        <x:v>191</x:v>
      </x:c>
      <x:c r="H42" s="3" t="s">
        <x:v>192</x:v>
      </x:c>
      <x:c r="I42" s="3" t="s">
        <x:v>26</x:v>
      </x:c>
      <x:c r="J42" s="3" t="s">
        <x:v>270</x:v>
      </x:c>
      <x:c r="K42" s="3" t="s">
        <x:v>271</x:v>
      </x:c>
      <x:c r="L42" s="5" t="str">
        <x:v>Admin-positive test not executed: no valid admin credentials/session were available in the provided test data; normal user and guest admin access checks returned 403 as expected.</x:v>
      </x:c>
      <x:c r="M42" s="6" t="str">
        <x:v>Blocked</x:v>
      </x:c>
      <x:c r="N42" s="4" t="s">
        <x:v>29</x:v>
      </x:c>
      <x:c r="O42" s="4" t="s">
        <x:v>30</x:v>
      </x:c>
      <x:c r="P42" s="5" t="str">
        <x:v>Patrik</x:v>
      </x:c>
      <x:c r="Q42" s="7" t="str">
        <x:v>2026-04-30</x:v>
      </x:c>
      <x:c r="R42" s="5" t="str">
        <x:v>Precondition missing: admin login.</x:v>
      </x:c>
    </x:row>
    <x:row r="43" ht="80" customHeight="1">
      <x:c r="A43" s="2" t="s">
        <x:v>272</x:v>
      </x:c>
      <x:c r="B43" s="3" t="s">
        <x:v>273</x:v>
      </x:c>
      <x:c r="C43" s="3" t="s">
        <x:v>251</x:v>
      </x:c>
      <x:c r="D43" s="4" t="s">
        <x:v>33</x:v>
      </x:c>
      <x:c r="E43" s="3" t="s">
        <x:v>269</x:v>
      </x:c>
      <x:c r="F43" s="4" t="s">
        <x:v>80</x:v>
      </x:c>
      <x:c r="G43" s="4" t="s">
        <x:v>191</x:v>
      </x:c>
      <x:c r="H43" s="3" t="s">
        <x:v>192</x:v>
      </x:c>
      <x:c r="I43" s="3" t="s">
        <x:v>274</x:v>
      </x:c>
      <x:c r="J43" s="3" t="s">
        <x:v>275</x:v>
      </x:c>
      <x:c r="K43" s="3" t="s">
        <x:v>276</x:v>
      </x:c>
      <x:c r="L43" s="5" t="str">
        <x:v>Admin-positive test not executed: no valid admin credentials/session were available in the provided test data; normal user and guest admin access checks returned 403 as expected.</x:v>
      </x:c>
      <x:c r="M43" s="6" t="str">
        <x:v>Blocked</x:v>
      </x:c>
      <x:c r="N43" s="4" t="s">
        <x:v>29</x:v>
      </x:c>
      <x:c r="O43" s="4" t="s">
        <x:v>30</x:v>
      </x:c>
      <x:c r="P43" s="5" t="str">
        <x:v>Patrik</x:v>
      </x:c>
      <x:c r="Q43" s="7" t="str">
        <x:v>2026-04-30</x:v>
      </x:c>
      <x:c r="R43" s="5" t="str">
        <x:v>Precondition missing: admin login.</x:v>
      </x:c>
    </x:row>
    <x:row r="44" ht="80" customHeight="1">
      <x:c r="A44" s="2" t="s">
        <x:v>277</x:v>
      </x:c>
      <x:c r="B44" s="3" t="s">
        <x:v>278</x:v>
      </x:c>
      <x:c r="C44" s="3" t="s">
        <x:v>251</x:v>
      </x:c>
      <x:c r="D44" s="4" t="s">
        <x:v>33</x:v>
      </x:c>
      <x:c r="E44" s="3" t="s">
        <x:v>279</x:v>
      </x:c>
      <x:c r="F44" s="4" t="s">
        <x:v>227</x:v>
      </x:c>
      <x:c r="G44" s="4" t="s">
        <x:v>191</x:v>
      </x:c>
      <x:c r="H44" s="3" t="s">
        <x:v>280</x:v>
      </x:c>
      <x:c r="I44" s="3" t="s">
        <x:v>281</x:v>
      </x:c>
      <x:c r="J44" s="3" t="s">
        <x:v>282</x:v>
      </x:c>
      <x:c r="K44" s="3" t="s">
        <x:v>283</x:v>
      </x:c>
      <x:c r="L44" s="5" t="str">
        <x:v>Admin-positive test not executed: no valid admin credentials/session were available in the provided test data; normal user and guest admin access checks returned 403 as expected.</x:v>
      </x:c>
      <x:c r="M44" s="6" t="str">
        <x:v>Blocked</x:v>
      </x:c>
      <x:c r="N44" s="4" t="s">
        <x:v>29</x:v>
      </x:c>
      <x:c r="O44" s="4" t="s">
        <x:v>30</x:v>
      </x:c>
      <x:c r="P44" s="5" t="str">
        <x:v>Patrik</x:v>
      </x:c>
      <x:c r="Q44" s="7" t="str">
        <x:v>2026-04-30</x:v>
      </x:c>
      <x:c r="R44" s="5" t="str">
        <x:v>Precondition missing: admin login.</x:v>
      </x:c>
    </x:row>
    <x:row r="45" ht="80" customHeight="1">
      <x:c r="A45" s="2" t="s">
        <x:v>284</x:v>
      </x:c>
      <x:c r="B45" s="3" t="s">
        <x:v>285</x:v>
      </x:c>
      <x:c r="C45" s="3" t="s">
        <x:v>251</x:v>
      </x:c>
      <x:c r="D45" s="4" t="s">
        <x:v>33</x:v>
      </x:c>
      <x:c r="E45" s="3" t="s">
        <x:v>286</x:v>
      </x:c>
      <x:c r="F45" s="4" t="s">
        <x:v>23</x:v>
      </x:c>
      <x:c r="G45" s="4" t="s">
        <x:v>191</x:v>
      </x:c>
      <x:c r="H45" s="3" t="s">
        <x:v>192</x:v>
      </x:c>
      <x:c r="I45" s="3" t="s">
        <x:v>26</x:v>
      </x:c>
      <x:c r="J45" s="3" t="s">
        <x:v>287</x:v>
      </x:c>
      <x:c r="K45" s="3" t="s">
        <x:v>288</x:v>
      </x:c>
      <x:c r="L45" s="5" t="str">
        <x:v>Admin-positive test not executed: no valid admin credentials/session were available in the provided test data; normal user and guest admin access checks returned 403 as expected.</x:v>
      </x:c>
      <x:c r="M45" s="6" t="str">
        <x:v>Blocked</x:v>
      </x:c>
      <x:c r="N45" s="4" t="s">
        <x:v>29</x:v>
      </x:c>
      <x:c r="O45" s="4" t="s">
        <x:v>30</x:v>
      </x:c>
      <x:c r="P45" s="5" t="str">
        <x:v>Patrik</x:v>
      </x:c>
      <x:c r="Q45" s="7" t="str">
        <x:v>2026-04-30</x:v>
      </x:c>
      <x:c r="R45" s="5" t="str">
        <x:v>Precondition missing: admin login.</x:v>
      </x:c>
    </x:row>
    <x:row r="46" ht="80" customHeight="1">
      <x:c r="A46" s="2" t="s">
        <x:v>289</x:v>
      </x:c>
      <x:c r="B46" s="3" t="s">
        <x:v>290</x:v>
      </x:c>
      <x:c r="C46" s="3" t="s">
        <x:v>251</x:v>
      </x:c>
      <x:c r="D46" s="4" t="s">
        <x:v>33</x:v>
      </x:c>
      <x:c r="E46" s="3" t="s">
        <x:v>286</x:v>
      </x:c>
      <x:c r="F46" s="4" t="s">
        <x:v>80</x:v>
      </x:c>
      <x:c r="G46" s="4" t="s">
        <x:v>191</x:v>
      </x:c>
      <x:c r="H46" s="3" t="s">
        <x:v>192</x:v>
      </x:c>
      <x:c r="I46" s="3" t="s">
        <x:v>291</x:v>
      </x:c>
      <x:c r="J46" s="3" t="s">
        <x:v>292</x:v>
      </x:c>
      <x:c r="K46" s="3" t="s">
        <x:v>293</x:v>
      </x:c>
      <x:c r="L46" s="5" t="str">
        <x:v>Admin-positive test not executed: no valid admin credentials/session were available in the provided test data; normal user and guest admin access checks returned 403 as expected.</x:v>
      </x:c>
      <x:c r="M46" s="6" t="str">
        <x:v>Blocked</x:v>
      </x:c>
      <x:c r="N46" s="4" t="s">
        <x:v>29</x:v>
      </x:c>
      <x:c r="O46" s="4" t="s">
        <x:v>30</x:v>
      </x:c>
      <x:c r="P46" s="5" t="str">
        <x:v>Patrik</x:v>
      </x:c>
      <x:c r="Q46" s="7" t="str">
        <x:v>2026-04-30</x:v>
      </x:c>
      <x:c r="R46" s="5" t="str">
        <x:v>Precondition missing: admin login.</x:v>
      </x:c>
    </x:row>
    <x:row r="47" ht="80" customHeight="1">
      <x:c r="A47" s="2" t="s">
        <x:v>294</x:v>
      </x:c>
      <x:c r="B47" s="3" t="s">
        <x:v>295</x:v>
      </x:c>
      <x:c r="C47" s="3" t="s">
        <x:v>251</x:v>
      </x:c>
      <x:c r="D47" s="4" t="s">
        <x:v>33</x:v>
      </x:c>
      <x:c r="E47" s="3" t="s">
        <x:v>296</x:v>
      </x:c>
      <x:c r="F47" s="4" t="s">
        <x:v>227</x:v>
      </x:c>
      <x:c r="G47" s="4" t="s">
        <x:v>191</x:v>
      </x:c>
      <x:c r="H47" s="3" t="s">
        <x:v>297</x:v>
      </x:c>
      <x:c r="I47" s="3" t="s">
        <x:v>298</x:v>
      </x:c>
      <x:c r="J47" s="3" t="s">
        <x:v>299</x:v>
      </x:c>
      <x:c r="K47" s="3" t="s">
        <x:v>300</x:v>
      </x:c>
      <x:c r="L47" s="5" t="str">
        <x:v>Admin-positive test not executed: no valid admin credentials/session were available in the provided test data; normal user and guest admin access checks returned 403 as expected.</x:v>
      </x:c>
      <x:c r="M47" s="6" t="str">
        <x:v>Blocked</x:v>
      </x:c>
      <x:c r="N47" s="4" t="s">
        <x:v>29</x:v>
      </x:c>
      <x:c r="O47" s="4" t="s">
        <x:v>30</x:v>
      </x:c>
      <x:c r="P47" s="5" t="str">
        <x:v>Patrik</x:v>
      </x:c>
      <x:c r="Q47" s="7" t="str">
        <x:v>2026-04-30</x:v>
      </x:c>
      <x:c r="R47" s="5" t="str">
        <x:v>Precondition missing: admin login.</x:v>
      </x:c>
    </x:row>
    <x:row r="48" ht="80" customHeight="1">
      <x:c r="A48" s="2" t="s">
        <x:v>301</x:v>
      </x:c>
      <x:c r="B48" s="3" t="s">
        <x:v>302</x:v>
      </x:c>
      <x:c r="C48" s="3" t="s">
        <x:v>251</x:v>
      </x:c>
      <x:c r="D48" s="4" t="s">
        <x:v>33</x:v>
      </x:c>
      <x:c r="E48" s="3" t="s">
        <x:v>303</x:v>
      </x:c>
      <x:c r="F48" s="4" t="s">
        <x:v>23</x:v>
      </x:c>
      <x:c r="G48" s="4" t="s">
        <x:v>191</x:v>
      </x:c>
      <x:c r="H48" s="3" t="s">
        <x:v>192</x:v>
      </x:c>
      <x:c r="I48" s="3" t="s">
        <x:v>26</x:v>
      </x:c>
      <x:c r="J48" s="3" t="s">
        <x:v>304</x:v>
      </x:c>
      <x:c r="K48" s="3" t="s">
        <x:v>305</x:v>
      </x:c>
      <x:c r="L48" s="5" t="str">
        <x:v>Admin-positive test not executed: no valid admin credentials/session were available in the provided test data; normal user and guest admin access checks returned 403 as expected.</x:v>
      </x:c>
      <x:c r="M48" s="6" t="str">
        <x:v>Blocked</x:v>
      </x:c>
      <x:c r="N48" s="4" t="s">
        <x:v>29</x:v>
      </x:c>
      <x:c r="O48" s="4" t="s">
        <x:v>30</x:v>
      </x:c>
      <x:c r="P48" s="5" t="str">
        <x:v>Patrik</x:v>
      </x:c>
      <x:c r="Q48" s="7" t="str">
        <x:v>2026-04-30</x:v>
      </x:c>
      <x:c r="R48" s="5" t="str">
        <x:v>Precondition missing: admin login.</x:v>
      </x:c>
    </x:row>
    <x:row r="49" ht="80" customHeight="1">
      <x:c r="A49" s="2" t="s">
        <x:v>306</x:v>
      </x:c>
      <x:c r="B49" s="3" t="s">
        <x:v>307</x:v>
      </x:c>
      <x:c r="C49" s="3" t="s">
        <x:v>251</x:v>
      </x:c>
      <x:c r="D49" s="4" t="s">
        <x:v>33</x:v>
      </x:c>
      <x:c r="E49" s="3" t="s">
        <x:v>303</x:v>
      </x:c>
      <x:c r="F49" s="4" t="s">
        <x:v>80</x:v>
      </x:c>
      <x:c r="G49" s="4" t="s">
        <x:v>191</x:v>
      </x:c>
      <x:c r="H49" s="3" t="s">
        <x:v>192</x:v>
      </x:c>
      <x:c r="I49" s="3" t="s">
        <x:v>308</x:v>
      </x:c>
      <x:c r="J49" s="3" t="s">
        <x:v>309</x:v>
      </x:c>
      <x:c r="K49" s="3" t="s">
        <x:v>310</x:v>
      </x:c>
      <x:c r="L49" s="5" t="str">
        <x:v>Admin-positive test not executed: no valid admin credentials/session were available in the provided test data; normal user and guest admin access checks returned 403 as expected.</x:v>
      </x:c>
      <x:c r="M49" s="6" t="str">
        <x:v>Blocked</x:v>
      </x:c>
      <x:c r="N49" s="4" t="s">
        <x:v>29</x:v>
      </x:c>
      <x:c r="O49" s="4" t="s">
        <x:v>30</x:v>
      </x:c>
      <x:c r="P49" s="5" t="str">
        <x:v>Patrik</x:v>
      </x:c>
      <x:c r="Q49" s="7" t="str">
        <x:v>2026-04-30</x:v>
      </x:c>
      <x:c r="R49" s="5" t="str">
        <x:v>Precondition missing: admin login.</x:v>
      </x:c>
    </x:row>
    <x:row r="50" ht="80" customHeight="1">
      <x:c r="A50" s="2" t="s">
        <x:v>311</x:v>
      </x:c>
      <x:c r="B50" s="3" t="s">
        <x:v>312</x:v>
      </x:c>
      <x:c r="C50" s="3" t="s">
        <x:v>251</x:v>
      </x:c>
      <x:c r="D50" s="4" t="s">
        <x:v>33</x:v>
      </x:c>
      <x:c r="E50" s="3" t="s">
        <x:v>313</x:v>
      </x:c>
      <x:c r="F50" s="4" t="s">
        <x:v>227</x:v>
      </x:c>
      <x:c r="G50" s="4" t="s">
        <x:v>191</x:v>
      </x:c>
      <x:c r="H50" s="3" t="s">
        <x:v>314</x:v>
      </x:c>
      <x:c r="I50" s="3" t="s">
        <x:v>315</x:v>
      </x:c>
      <x:c r="J50" s="3" t="s">
        <x:v>316</x:v>
      </x:c>
      <x:c r="K50" s="3" t="s">
        <x:v>317</x:v>
      </x:c>
      <x:c r="L50" s="5" t="str">
        <x:v>Admin-positive test not executed: no valid admin credentials/session were available in the provided test data; normal user and guest admin access checks returned 403 as expected.</x:v>
      </x:c>
      <x:c r="M50" s="6" t="str">
        <x:v>Blocked</x:v>
      </x:c>
      <x:c r="N50" s="4" t="s">
        <x:v>29</x:v>
      </x:c>
      <x:c r="O50" s="4" t="s">
        <x:v>30</x:v>
      </x:c>
      <x:c r="P50" s="5" t="str">
        <x:v>Patrik</x:v>
      </x:c>
      <x:c r="Q50" s="7" t="str">
        <x:v>2026-04-30</x:v>
      </x:c>
      <x:c r="R50" s="5" t="str">
        <x:v>Precondition missing: admin login.</x:v>
      </x:c>
    </x:row>
    <x:row r="51" ht="130.5">
      <x:c r="A51" s="2" t="s">
        <x:v>318</x:v>
      </x:c>
      <x:c r="B51" s="3" t="s">
        <x:v>319</x:v>
      </x:c>
      <x:c r="C51" s="3" t="s">
        <x:v>320</x:v>
      </x:c>
      <x:c r="D51" s="4" t="s">
        <x:v>33</x:v>
      </x:c>
      <x:c r="E51" s="3" t="s">
        <x:v>79</x:v>
      </x:c>
      <x:c r="F51" s="4" t="s">
        <x:v>80</x:v>
      </x:c>
      <x:c r="G51" s="4" t="s">
        <x:v>24</x:v>
      </x:c>
      <x:c r="H51" s="3" t="s">
        <x:v>321</x:v>
      </x:c>
      <x:c r="I51" s="3" t="s">
        <x:v>322</x:v>
      </x:c>
      <x:c r="J51" s="3" t="s">
        <x:v>323</x:v>
      </x:c>
      <x:c r="K51" s="3" t="s">
        <x:v>324</x:v>
      </x:c>
      <x:c r="L51" s="5" t="str">
        <x:v>Exact Postman POST /register returned 201 application/json; {"message":"Sikeres regisztracio.","user":{"id":14,"name":"Test elek3","email":"tesst@gmail.com33","is_admin":false}}.</x:v>
      </x:c>
      <x:c r="M51" s="6" t="str">
        <x:v>Pass</x:v>
      </x:c>
      <x:c r="N51" s="4" t="s">
        <x:v>29</x:v>
      </x:c>
      <x:c r="P51" t="str">
        <x:v>Patrik</x:v>
      </x:c>
      <x:c r="Q51" s="9" t="str">
        <x:v>2026-04-30</x:v>
      </x:c>
      <x:c r="R51" s="8" t="str"/>
    </x:row>
    <x:row r="52" ht="72.5">
      <x:c r="A52" s="2" t="s">
        <x:v>325</x:v>
      </x:c>
      <x:c r="B52" s="3" t="s">
        <x:v>326</x:v>
      </x:c>
      <x:c r="C52" s="3" t="s">
        <x:v>136</x:v>
      </x:c>
      <x:c r="D52" s="4" t="s">
        <x:v>33</x:v>
      </x:c>
      <x:c r="E52" s="3" t="s">
        <x:v>137</x:v>
      </x:c>
      <x:c r="F52" s="4" t="s">
        <x:v>23</x:v>
      </x:c>
      <x:c r="G52" s="4" t="s">
        <x:v>34</x:v>
      </x:c>
      <x:c r="H52" s="3" t="s">
        <x:v>321</x:v>
      </x:c>
      <x:c r="I52" s="3" t="s">
        <x:v>26</x:v>
      </x:c>
      <x:c r="J52" s="3" t="s">
        <x:v>327</x:v>
      </x:c>
      <x:c r="K52" s="3" t="s">
        <x:v>324</x:v>
      </x:c>
      <x:c r="L52" s="5" t="str">
        <x:v>GET /api/ticket_orders with authenticated user session returned 200 application/json; {"ticket_orders":[{"ticket_order_id":2,"screening_id":20,"total_price":"1990.00","user_id":13,"user_name":"Codex Test User","seats":[{"seat_id":901,"row_num":1,"column_num":1}]},{".</x:v>
      </x:c>
      <x:c r="M52" s="6" t="str">
        <x:v>Pass</x:v>
      </x:c>
      <x:c r="N52" s="4" t="s">
        <x:v>29</x:v>
      </x:c>
      <x:c r="P52" t="str">
        <x:v>Patrik</x:v>
      </x:c>
      <x:c r="Q52" s="9" t="str">
        <x:v>2026-04-30</x:v>
      </x:c>
      <x:c r="R52" s="8" t="str"/>
    </x:row>
    <x:row r="53" ht="72.5">
      <x:c r="A53" s="2" t="s">
        <x:v>328</x:v>
      </x:c>
      <x:c r="B53" s="3" t="s">
        <x:v>329</x:v>
      </x:c>
      <x:c r="C53" s="3" t="s">
        <x:v>136</x:v>
      </x:c>
      <x:c r="D53" s="4" t="s">
        <x:v>33</x:v>
      </x:c>
      <x:c r="E53" s="3" t="s">
        <x:v>137</x:v>
      </x:c>
      <x:c r="F53" s="4" t="s">
        <x:v>80</x:v>
      </x:c>
      <x:c r="G53" s="4" t="s">
        <x:v>34</x:v>
      </x:c>
      <x:c r="H53" s="3" t="s">
        <x:v>321</x:v>
      </x:c>
      <x:c r="I53" s="3" t="s">
        <x:v>330</x:v>
      </x:c>
      <x:c r="J53" s="3" t="s">
        <x:v>331</x:v>
      </x:c>
      <x:c r="K53" s="3" t="s">
        <x:v>324</x:v>
      </x:c>
      <x:c r="L53" s="5" t="str">
        <x:v>Exact Postman POST /api/ticket_orders screening_id=20, seat_id=2, price_id=6 returned 201 application/json; {"ticket_order_id":3,"message":"Sikeres foglalas."}.</x:v>
      </x:c>
      <x:c r="M53" s="6" t="str">
        <x:v>Pass</x:v>
      </x:c>
      <x:c r="N53" s="4" t="s">
        <x:v>29</x:v>
      </x:c>
      <x:c r="P53" t="str">
        <x:v>Patrik</x:v>
      </x:c>
      <x:c r="Q53" s="9" t="str">
        <x:v>2026-04-30</x:v>
      </x:c>
      <x:c r="R53" s="8" t="str"/>
    </x:row>
    <x:row r="54" ht="174">
      <x:c r="A54" s="2" t="s">
        <x:v>332</x:v>
      </x:c>
      <x:c r="B54" s="3" t="s">
        <x:v>333</x:v>
      </x:c>
      <x:c r="C54" s="3" t="s">
        <x:v>116</x:v>
      </x:c>
      <x:c r="D54" s="4" t="s">
        <x:v>33</x:v>
      </x:c>
      <x:c r="E54" s="3" t="s">
        <x:v>123</x:v>
      </x:c>
      <x:c r="F54" s="4" t="s">
        <x:v>23</x:v>
      </x:c>
      <x:c r="G54" s="4" t="s">
        <x:v>34</x:v>
      </x:c>
      <x:c r="H54" s="3" t="s">
        <x:v>321</x:v>
      </x:c>
      <x:c r="I54" s="3" t="s">
        <x:v>26</x:v>
      </x:c>
      <x:c r="J54" s="3" t="s">
        <x:v>334</x:v>
      </x:c>
      <x:c r="K54" s="3" t="s">
        <x:v>335</x:v>
      </x:c>
      <x:c r="L54" s="5" t="str">
        <x:v>GET /api/movies/12 returned 200 application/json with movie object, screenings and prices.</x:v>
      </x:c>
      <x:c r="M54" s="6" t="str">
        <x:v>Pass</x:v>
      </x:c>
      <x:c r="N54" s="4" t="s">
        <x:v>29</x:v>
      </x:c>
      <x:c r="P54" t="str">
        <x:v>Patrik</x:v>
      </x:c>
      <x:c r="Q54" s="9" t="str">
        <x:v>2026-04-30</x:v>
      </x:c>
      <x:c r="R54" s="8" t="str"/>
    </x:row>
    <x:row r="55" ht="174">
      <x:c r="A55" s="2" t="s">
        <x:v>336</x:v>
      </x:c>
      <x:c r="B55" s="3" t="s">
        <x:v>337</x:v>
      </x:c>
      <x:c r="C55" s="3" t="s">
        <x:v>116</x:v>
      </x:c>
      <x:c r="D55" s="4" t="s">
        <x:v>33</x:v>
      </x:c>
      <x:c r="E55" s="3" t="s">
        <x:v>117</x:v>
      </x:c>
      <x:c r="F55" s="4" t="s">
        <x:v>23</x:v>
      </x:c>
      <x:c r="G55" s="4" t="s">
        <x:v>34</x:v>
      </x:c>
      <x:c r="H55" s="3" t="s">
        <x:v>321</x:v>
      </x:c>
      <x:c r="I55" s="3" t="s">
        <x:v>26</x:v>
      </x:c>
      <x:c r="J55" s="3" t="s">
        <x:v>338</x:v>
      </x:c>
      <x:c r="K55" s="3" t="s">
        <x:v>339</x:v>
      </x:c>
      <x:c r="L55" s="5" t="str">
        <x:v>GET /api/movies returned 200 application/json; movies=7, genres=4.</x:v>
      </x:c>
      <x:c r="M55" s="6" t="str">
        <x:v>Pass</x:v>
      </x:c>
      <x:c r="N55" s="4" t="s">
        <x:v>29</x:v>
      </x:c>
      <x:c r="P55" t="str">
        <x:v>Patrik</x:v>
      </x:c>
      <x:c r="Q55" s="9" t="str">
        <x:v>2026-04-30</x:v>
      </x:c>
      <x:c r="R55" s="8" t="str"/>
    </x:row>
    <x:row r="56" ht="87">
      <x:c r="A56" s="2" t="s">
        <x:v>340</x:v>
      </x:c>
      <x:c r="B56" s="3" t="s">
        <x:v>341</x:v>
      </x:c>
      <x:c r="C56" s="3" t="s">
        <x:v>320</x:v>
      </x:c>
      <x:c r="D56" s="4" t="s">
        <x:v>33</x:v>
      </x:c>
      <x:c r="E56" s="3" t="s">
        <x:v>53</x:v>
      </x:c>
      <x:c r="F56" s="4" t="s">
        <x:v>80</x:v>
      </x:c>
      <x:c r="G56" s="4" t="s">
        <x:v>24</x:v>
      </x:c>
      <x:c r="H56" s="3" t="s">
        <x:v>321</x:v>
      </x:c>
      <x:c r="I56" s="3" t="s">
        <x:v>342</x:v>
      </x:c>
      <x:c r="J56" s="3" t="s">
        <x:v>343</x:v>
      </x:c>
      <x:c r="K56" s="3" t="s">
        <x:v>324</x:v>
      </x:c>
      <x:c r="L56" s="5" t="str">
        <x:v>POST /login with the provided Postman credentials returned 401 JSON: "Hibas email vagy jelszo"; expected successful login.</x:v>
      </x:c>
      <x:c r="M56" s="6" t="str">
        <x:v>Fail</x:v>
      </x:c>
      <x:c r="N56" s="4" t="s">
        <x:v>29</x:v>
      </x:c>
      <x:c r="P56" t="str">
        <x:v>Patrik</x:v>
      </x:c>
      <x:c r="Q56" s="9" t="str">
        <x:v>2026-04-30</x:v>
      </x:c>
      <x:c r="R56" s="8" t="str"/>
    </x:row>
    <x:row r="57" ht="72.5">
      <x:c r="A57" s="2" t="s">
        <x:v>344</x:v>
      </x:c>
      <x:c r="B57" s="3" t="s">
        <x:v>345</x:v>
      </x:c>
      <x:c r="C57" s="3" t="s">
        <x:v>136</x:v>
      </x:c>
      <x:c r="D57" s="4" t="s">
        <x:v>33</x:v>
      </x:c>
      <x:c r="E57" s="3" t="s">
        <x:v>169</x:v>
      </x:c>
      <x:c r="F57" s="4" t="s">
        <x:v>23</x:v>
      </x:c>
      <x:c r="G57" s="4" t="s">
        <x:v>34</x:v>
      </x:c>
      <x:c r="H57" s="3" t="s">
        <x:v>321</x:v>
      </x:c>
      <x:c r="I57" s="3" t="s">
        <x:v>26</x:v>
      </x:c>
      <x:c r="J57" s="3" t="s">
        <x:v>346</x:v>
      </x:c>
      <x:c r="K57" s="3" t="s">
        <x:v>324</x:v>
      </x:c>
      <x:c r="L57" s="5" t="str">
        <x:v>GET /api/profile/ticket_orders with authenticated user returned 200 application/json; {"ticket_orders":[{"ticket_order_id":3,"movie_name":"Avatar (2009)","movie_genre":"Sci-Fi","movie_duration":162,"movie_rating":8,"screening_date":"2026-04-30","screening_time":"17:.</x:v>
      </x:c>
      <x:c r="M57" s="6" t="str">
        <x:v>Pass</x:v>
      </x:c>
      <x:c r="N57" s="4" t="s">
        <x:v>29</x:v>
      </x:c>
      <x:c r="P57" t="str">
        <x:v>Patrik</x:v>
      </x:c>
      <x:c r="Q57" s="9" t="str">
        <x:v>2026-04-30</x:v>
      </x:c>
      <x:c r="R57" s="8" t="str"/>
    </x:row>
    <x:row r="58" ht="87">
      <x:c r="A58" s="2" t="s">
        <x:v>347</x:v>
      </x:c>
      <x:c r="B58" s="3" t="s">
        <x:v>341</x:v>
      </x:c>
      <x:c r="C58" s="3" t="s">
        <x:v>320</x:v>
      </x:c>
      <x:c r="D58" s="4" t="s">
        <x:v>33</x:v>
      </x:c>
      <x:c r="E58" s="3" t="s">
        <x:v>53</x:v>
      </x:c>
      <x:c r="F58" s="4" t="s">
        <x:v>80</x:v>
      </x:c>
      <x:c r="G58" s="4" t="s">
        <x:v>24</x:v>
      </x:c>
      <x:c r="H58" s="3" t="s">
        <x:v>321</x:v>
      </x:c>
      <x:c r="I58" s="3" t="s">
        <x:v>348</x:v>
      </x:c>
      <x:c r="J58" s="3" t="s">
        <x:v>349</x:v>
      </x:c>
      <x:c r="K58" s="3" t="s">
        <x:v>324</x:v>
      </x:c>
      <x:c r="L58" s="5" t="str">
        <x:v>POST /login with the provided Postman credentials returned 401 JSON: "Hibas email vagy jelszo"; expected successful login.</x:v>
      </x:c>
      <x:c r="M58" s="6" t="str">
        <x:v>Fail</x:v>
      </x:c>
      <x:c r="N58" s="4" t="s">
        <x:v>29</x:v>
      </x:c>
      <x:c r="P58" t="str">
        <x:v>Patrik</x:v>
      </x:c>
      <x:c r="Q58" s="9" t="str">
        <x:v>2026-04-30</x:v>
      </x:c>
      <x:c r="R58" s="8" t="str"/>
    </x:row>
    <x:row r="59" ht="72.5">
      <x:c r="A59" s="2" t="s">
        <x:v>350</x:v>
      </x:c>
      <x:c r="B59" s="3" t="s">
        <x:v>351</x:v>
      </x:c>
      <x:c r="C59" s="3" t="s">
        <x:v>191</x:v>
      </x:c>
      <x:c r="D59" s="4" t="s">
        <x:v>33</x:v>
      </x:c>
      <x:c r="E59" s="3" t="s">
        <x:v>190</x:v>
      </x:c>
      <x:c r="F59" s="4" t="s">
        <x:v>23</x:v>
      </x:c>
      <x:c r="G59" s="4" t="s">
        <x:v>191</x:v>
      </x:c>
      <x:c r="H59" s="3" t="s">
        <x:v>321</x:v>
      </x:c>
      <x:c r="I59" s="3" t="s">
        <x:v>26</x:v>
      </x:c>
      <x:c r="J59" s="3" t="s">
        <x:v>352</x:v>
      </x:c>
      <x:c r="K59" s="3" t="s">
        <x:v>324</x:v>
      </x:c>
      <x:c r="L59" s="5" t="str">
        <x:v>Admin Postman request /api/admin/users not executed with admin privileges: provided login credentials failed (401) and no admin credentials/session were available.</x:v>
      </x:c>
      <x:c r="M59" s="6" t="str">
        <x:v>Blocked</x:v>
      </x:c>
      <x:c r="N59" s="4" t="s">
        <x:v>29</x:v>
      </x:c>
      <x:c r="P59" t="str">
        <x:v>Patrik</x:v>
      </x:c>
      <x:c r="Q59" s="9" t="str">
        <x:v>2026-04-30</x:v>
      </x:c>
      <x:c r="R59" s="8" t="str">
        <x:v>Precondition missing: admin login.</x:v>
      </x:c>
    </x:row>
    <x:row r="60" ht="72.5">
      <x:c r="A60" s="2" t="s">
        <x:v>353</x:v>
      </x:c>
      <x:c r="B60" s="3" t="s">
        <x:v>354</x:v>
      </x:c>
      <x:c r="C60" s="3" t="s">
        <x:v>355</x:v>
      </x:c>
      <x:c r="D60" s="4" t="s">
        <x:v>33</x:v>
      </x:c>
      <x:c r="E60" s="3" t="s">
        <x:v>105</x:v>
      </x:c>
      <x:c r="F60" s="4" t="s">
        <x:v>23</x:v>
      </x:c>
      <x:c r="G60" s="4" t="s">
        <x:v>34</x:v>
      </x:c>
      <x:c r="H60" s="3" t="s">
        <x:v>321</x:v>
      </x:c>
      <x:c r="I60" s="3" t="s">
        <x:v>26</x:v>
      </x:c>
      <x:c r="J60" s="3" t="s">
        <x:v>356</x:v>
      </x:c>
      <x:c r="K60" s="3" t="s">
        <x:v>324</x:v>
      </x:c>
      <x:c r="L60" s="5" t="str">
        <x:v>GET /api/user with authenticated user returned 200 application/json; {"user":{"id":14,"name":"Test elek3","email":"tesst@gmail.com33","is_admin":false}}.</x:v>
      </x:c>
      <x:c r="M60" s="6" t="str">
        <x:v>Pass</x:v>
      </x:c>
      <x:c r="N60" s="4" t="s">
        <x:v>29</x:v>
      </x:c>
      <x:c r="P60" t="str">
        <x:v>Patrik</x:v>
      </x:c>
      <x:c r="Q60" s="9" t="str">
        <x:v>2026-04-30</x:v>
      </x:c>
      <x:c r="R60" s="8" t="str"/>
    </x:row>
    <x:row r="61" ht="72.5">
      <x:c r="A61" s="2" t="s">
        <x:v>357</x:v>
      </x:c>
      <x:c r="B61" s="3" t="s">
        <x:v>358</x:v>
      </x:c>
      <x:c r="C61" s="3" t="s">
        <x:v>191</x:v>
      </x:c>
      <x:c r="D61" s="4" t="s">
        <x:v>33</x:v>
      </x:c>
      <x:c r="E61" s="3" t="s">
        <x:v>210</x:v>
      </x:c>
      <x:c r="F61" s="4" t="s">
        <x:v>23</x:v>
      </x:c>
      <x:c r="G61" s="4" t="s">
        <x:v>191</x:v>
      </x:c>
      <x:c r="H61" s="3" t="s">
        <x:v>321</x:v>
      </x:c>
      <x:c r="I61" s="3" t="s">
        <x:v>26</x:v>
      </x:c>
      <x:c r="J61" s="3" t="s">
        <x:v>359</x:v>
      </x:c>
      <x:c r="K61" s="3" t="s">
        <x:v>324</x:v>
      </x:c>
      <x:c r="L61" s="5" t="str">
        <x:v>Admin Postman request /api/admin/films not executed with admin privileges: provided login credentials failed (401) and no admin credentials/session were available.</x:v>
      </x:c>
      <x:c r="M61" s="6" t="str">
        <x:v>Blocked</x:v>
      </x:c>
      <x:c r="N61" s="4" t="s">
        <x:v>29</x:v>
      </x:c>
      <x:c r="P61" t="str">
        <x:v>Patrik</x:v>
      </x:c>
      <x:c r="Q61" s="9" t="str">
        <x:v>2026-04-30</x:v>
      </x:c>
      <x:c r="R61" s="8" t="str">
        <x:v>Precondition missing: admin login.</x:v>
      </x:c>
    </x:row>
    <x:row r="62" ht="72.5">
      <x:c r="A62" s="2" t="s">
        <x:v>360</x:v>
      </x:c>
      <x:c r="B62" s="3" t="s">
        <x:v>361</x:v>
      </x:c>
      <x:c r="C62" s="3" t="s">
        <x:v>191</x:v>
      </x:c>
      <x:c r="D62" s="4" t="s">
        <x:v>33</x:v>
      </x:c>
      <x:c r="E62" s="3" t="s">
        <x:v>235</x:v>
      </x:c>
      <x:c r="F62" s="4" t="s">
        <x:v>23</x:v>
      </x:c>
      <x:c r="G62" s="4" t="s">
        <x:v>191</x:v>
      </x:c>
      <x:c r="H62" s="3" t="s">
        <x:v>321</x:v>
      </x:c>
      <x:c r="I62" s="3" t="s">
        <x:v>26</x:v>
      </x:c>
      <x:c r="J62" s="3" t="s">
        <x:v>362</x:v>
      </x:c>
      <x:c r="K62" s="3" t="s">
        <x:v>324</x:v>
      </x:c>
      <x:c r="L62" s="5" t="str">
        <x:v>Admin Postman request /api/admin/screenings not executed with admin privileges: provided login credentials failed (401) and no admin credentials/session were available.</x:v>
      </x:c>
      <x:c r="M62" s="6" t="str">
        <x:v>Blocked</x:v>
      </x:c>
      <x:c r="N62" s="4" t="s">
        <x:v>29</x:v>
      </x:c>
      <x:c r="P62" t="str">
        <x:v>Patrik</x:v>
      </x:c>
      <x:c r="Q62" s="9" t="str">
        <x:v>2026-04-30</x:v>
      </x:c>
      <x:c r="R62" s="8" t="str">
        <x:v>Precondition missing: admin login.</x:v>
      </x:c>
    </x:row>
    <x:row r="63" ht="159.5">
      <x:c r="A63" s="2" t="s">
        <x:v>363</x:v>
      </x:c>
      <x:c r="B63" s="3" t="s">
        <x:v>364</x:v>
      </x:c>
      <x:c r="C63" s="3" t="s">
        <x:v>191</x:v>
      </x:c>
      <x:c r="D63" s="4" t="s">
        <x:v>33</x:v>
      </x:c>
      <x:c r="E63" s="3" t="s">
        <x:v>210</x:v>
      </x:c>
      <x:c r="F63" s="4" t="s">
        <x:v>80</x:v>
      </x:c>
      <x:c r="G63" s="4" t="s">
        <x:v>191</x:v>
      </x:c>
      <x:c r="H63" s="3" t="s">
        <x:v>321</x:v>
      </x:c>
      <x:c r="I63" s="3" t="s">
        <x:v>365</x:v>
      </x:c>
      <x:c r="J63" s="3" t="s">
        <x:v>366</x:v>
      </x:c>
      <x:c r="K63" s="3" t="s">
        <x:v>324</x:v>
      </x:c>
      <x:c r="L63" s="5" t="str">
        <x:v>Admin Postman request /api/admin/films not executed with admin privileges: provided login credentials failed (401) and no admin credentials/session were available.</x:v>
      </x:c>
      <x:c r="M63" s="6" t="str">
        <x:v>Blocked</x:v>
      </x:c>
      <x:c r="N63" s="4" t="s">
        <x:v>29</x:v>
      </x:c>
      <x:c r="P63" t="str">
        <x:v>Patrik</x:v>
      </x:c>
      <x:c r="Q63" s="9" t="str">
        <x:v>2026-04-30</x:v>
      </x:c>
      <x:c r="R63" s="8" t="str">
        <x:v>Precondition missing: admin login.</x:v>
      </x:c>
    </x:row>
    <x:row r="64" ht="174">
      <x:c r="A64" s="2" t="s">
        <x:v>367</x:v>
      </x:c>
      <x:c r="B64" s="3" t="s">
        <x:v>368</x:v>
      </x:c>
      <x:c r="C64" s="3" t="s">
        <x:v>191</x:v>
      </x:c>
      <x:c r="D64" s="4" t="s">
        <x:v>33</x:v>
      </x:c>
      <x:c r="E64" s="3" t="s">
        <x:v>226</x:v>
      </x:c>
      <x:c r="F64" s="4" t="s">
        <x:v>227</x:v>
      </x:c>
      <x:c r="G64" s="4" t="s">
        <x:v>191</x:v>
      </x:c>
      <x:c r="H64" s="3" t="s">
        <x:v>321</x:v>
      </x:c>
      <x:c r="I64" s="3" t="s">
        <x:v>369</x:v>
      </x:c>
      <x:c r="J64" s="3" t="s">
        <x:v>370</x:v>
      </x:c>
      <x:c r="K64" s="3" t="s">
        <x:v>324</x:v>
      </x:c>
      <x:c r="L64" s="5" t="str">
        <x:v>Admin Postman request /api/admin/films/20 not executed with admin privileges: provided login credentials failed (401) and no admin credentials/session were available.</x:v>
      </x:c>
      <x:c r="M64" s="6" t="str">
        <x:v>Blocked</x:v>
      </x:c>
      <x:c r="N64" s="4" t="s">
        <x:v>29</x:v>
      </x:c>
      <x:c r="P64" t="str">
        <x:v>Patrik</x:v>
      </x:c>
      <x:c r="Q64" s="9" t="str">
        <x:v>2026-04-30</x:v>
      </x:c>
      <x:c r="R64" s="8" t="str">
        <x:v>Precondition missing: admin login.</x:v>
      </x:c>
    </x:row>
    <x:row r="65" ht="87">
      <x:c r="A65" s="2" t="s">
        <x:v>371</x:v>
      </x:c>
      <x:c r="B65" s="3" t="s">
        <x:v>372</x:v>
      </x:c>
      <x:c r="C65" s="3" t="s">
        <x:v>191</x:v>
      </x:c>
      <x:c r="D65" s="4" t="s">
        <x:v>33</x:v>
      </x:c>
      <x:c r="E65" s="3" t="s">
        <x:v>190</x:v>
      </x:c>
      <x:c r="F65" s="4" t="s">
        <x:v>80</x:v>
      </x:c>
      <x:c r="G65" s="4" t="s">
        <x:v>191</x:v>
      </x:c>
      <x:c r="H65" s="3" t="s">
        <x:v>321</x:v>
      </x:c>
      <x:c r="I65" s="3" t="s">
        <x:v>373</x:v>
      </x:c>
      <x:c r="J65" s="3" t="s">
        <x:v>374</x:v>
      </x:c>
      <x:c r="K65" s="3" t="s">
        <x:v>324</x:v>
      </x:c>
      <x:c r="L65" s="5" t="str">
        <x:v>Admin Postman request /api/admin/users not executed with admin privileges: provided login credentials failed (401) and no admin credentials/session were available.</x:v>
      </x:c>
      <x:c r="M65" s="6" t="str">
        <x:v>Blocked</x:v>
      </x:c>
      <x:c r="N65" s="4" t="s">
        <x:v>29</x:v>
      </x:c>
      <x:c r="P65" t="str">
        <x:v>Patrik</x:v>
      </x:c>
      <x:c r="Q65" s="9" t="str">
        <x:v>2026-04-30</x:v>
      </x:c>
      <x:c r="R65" s="8" t="str">
        <x:v>Precondition missing: admin login.</x:v>
      </x:c>
    </x:row>
    <x:row r="66" ht="101.5">
      <x:c r="A66" s="2" t="s">
        <x:v>375</x:v>
      </x:c>
      <x:c r="B66" s="3" t="s">
        <x:v>376</x:v>
      </x:c>
      <x:c r="C66" s="3" t="s">
        <x:v>191</x:v>
      </x:c>
      <x:c r="D66" s="4" t="s">
        <x:v>33</x:v>
      </x:c>
      <x:c r="E66" s="3" t="s">
        <x:v>235</x:v>
      </x:c>
      <x:c r="F66" s="4" t="s">
        <x:v>80</x:v>
      </x:c>
      <x:c r="G66" s="4" t="s">
        <x:v>191</x:v>
      </x:c>
      <x:c r="H66" s="3" t="s">
        <x:v>321</x:v>
      </x:c>
      <x:c r="I66" s="3" t="s">
        <x:v>377</x:v>
      </x:c>
      <x:c r="J66" s="3" t="s">
        <x:v>378</x:v>
      </x:c>
      <x:c r="K66" s="3" t="s">
        <x:v>324</x:v>
      </x:c>
      <x:c r="L66" s="5" t="str">
        <x:v>Admin Postman request /api/admin/screenings not executed with admin privileges: provided login credentials failed (401) and no admin credentials/session were available.</x:v>
      </x:c>
      <x:c r="M66" s="6" t="str">
        <x:v>Blocked</x:v>
      </x:c>
      <x:c r="N66" s="4" t="s">
        <x:v>29</x:v>
      </x:c>
      <x:c r="P66" t="str">
        <x:v>Patrik</x:v>
      </x:c>
      <x:c r="Q66" s="9" t="str">
        <x:v>2026-04-30</x:v>
      </x:c>
      <x:c r="R66" s="8" t="str">
        <x:v>Precondition missing: admin login.</x:v>
      </x:c>
    </x:row>
    <x:row r="67" ht="87">
      <x:c r="A67" s="2" t="s">
        <x:v>379</x:v>
      </x:c>
      <x:c r="B67" s="3" t="s">
        <x:v>380</x:v>
      </x:c>
      <x:c r="C67" s="3" t="s">
        <x:v>191</x:v>
      </x:c>
      <x:c r="D67" s="4" t="s">
        <x:v>33</x:v>
      </x:c>
      <x:c r="E67" s="3" t="s">
        <x:v>303</x:v>
      </x:c>
      <x:c r="F67" s="4" t="s">
        <x:v>23</x:v>
      </x:c>
      <x:c r="G67" s="4" t="s">
        <x:v>191</x:v>
      </x:c>
      <x:c r="H67" s="3" t="s">
        <x:v>321</x:v>
      </x:c>
      <x:c r="I67" s="3" t="s">
        <x:v>377</x:v>
      </x:c>
      <x:c r="J67" s="3" t="s">
        <x:v>381</x:v>
      </x:c>
      <x:c r="K67" s="3" t="s">
        <x:v>324</x:v>
      </x:c>
      <x:c r="L67" s="5" t="str">
        <x:v>Admin Postman request /api/admin/rooms not executed with admin privileges: provided login credentials failed (401) and no admin credentials/session were available.</x:v>
      </x:c>
      <x:c r="M67" s="6" t="str">
        <x:v>Blocked</x:v>
      </x:c>
      <x:c r="N67" s="4" t="s">
        <x:v>29</x:v>
      </x:c>
      <x:c r="P67" t="str">
        <x:v>Patrik</x:v>
      </x:c>
      <x:c r="Q67" s="9" t="str">
        <x:v>2026-04-30</x:v>
      </x:c>
      <x:c r="R67" s="8" t="str">
        <x:v>Precondition missing: admin login.</x:v>
      </x:c>
    </x:row>
    <x:row r="68" ht="72.5">
      <x:c r="A68" s="2" t="s">
        <x:v>382</x:v>
      </x:c>
      <x:c r="B68" s="3" t="s">
        <x:v>383</x:v>
      </x:c>
      <x:c r="C68" s="3" t="s">
        <x:v>384</x:v>
      </x:c>
      <x:c r="D68" s="4" t="s">
        <x:v>21</x:v>
      </x:c>
      <x:c r="E68" s="3" t="s">
        <x:v>385</x:v>
      </x:c>
      <x:c r="F68" s="4" t="s">
        <x:v>26</x:v>
      </x:c>
      <x:c r="G68" s="4" t="s">
        <x:v>34</x:v>
      </x:c>
      <x:c r="H68" s="3" t="s">
        <x:v>386</x:v>
      </x:c>
      <x:c r="I68" s="3" t="s">
        <x:v>387</x:v>
      </x:c>
      <x:c r="J68" s="3" t="s">
        <x:v>388</x:v>
      </x:c>
      <x:c r="K68" s="3" t="s">
        <x:v>389</x:v>
      </x:c>
      <x:c r="L68" s="5" t="str">
        <x:v>Backend duplicate-seat check after booking seat_id=901 returned 409 application/json and rejected the already reserved seat. UI seat-click state was not separately exercised.</x:v>
      </x:c>
      <x:c r="M68" s="6" t="str">
        <x:v>Pass</x:v>
      </x:c>
      <x:c r="N68" s="4" t="s">
        <x:v>56</x:v>
      </x:c>
      <x:c r="O68" t="s">
        <x:v>57</x:v>
      </x:c>
      <x:c r="P68" t="str">
        <x:v>Patrik</x:v>
      </x:c>
      <x:c r="Q68" s="9" t="str">
        <x:v>2026-04-30</x:v>
      </x:c>
      <x:c r="R68" s="8" t="str">
        <x:v>Manual UI partially covered through API/backend behavior.</x:v>
      </x:c>
    </x:row>
    <x:row r="69" ht="87">
      <x:c r="A69" s="2" t="s">
        <x:v>390</x:v>
      </x:c>
      <x:c r="B69" s="3" t="s">
        <x:v>391</x:v>
      </x:c>
      <x:c r="C69" s="3" t="s">
        <x:v>384</x:v>
      </x:c>
      <x:c r="D69" s="4" t="s">
        <x:v>21</x:v>
      </x:c>
      <x:c r="E69" s="3" t="s">
        <x:v>392</x:v>
      </x:c>
      <x:c r="F69" s="4" t="s">
        <x:v>26</x:v>
      </x:c>
      <x:c r="G69" s="4" t="s">
        <x:v>34</x:v>
      </x:c>
      <x:c r="H69" s="3" t="s">
        <x:v>393</x:v>
      </x:c>
      <x:c r="I69" s="3" t="s">
        <x:v>394</x:v>
      </x:c>
      <x:c r="J69" s="3" t="s">
        <x:v>395</x:v>
      </x:c>
      <x:c r="K69" s="3" t="s">
        <x:v>396</x:v>
      </x:c>
      <x:c r="L69" s="5" t="str">
        <x:v>Repeated booking submission for the same screening/seat returned 409 application/json; no second order was created through the backend request. Browser refresh/back flow was not separately exercised.</x:v>
      </x:c>
      <x:c r="M69" s="6" t="str">
        <x:v>Pass</x:v>
      </x:c>
      <x:c r="N69" s="4" t="s">
        <x:v>56</x:v>
      </x:c>
      <x:c r="O69" t="s">
        <x:v>397</x:v>
      </x:c>
      <x:c r="P69" t="str">
        <x:v>Patrik</x:v>
      </x:c>
      <x:c r="Q69" s="9" t="str">
        <x:v>2026-04-30</x:v>
      </x:c>
      <x:c r="R69" s="8" t="str">
        <x:v>Manual UI partially covered through API/backend behavior.</x:v>
      </x:c>
    </x:row>
    <x:row r="70" ht="87">
      <x:c r="A70" s="2" t="s">
        <x:v>398</x:v>
      </x:c>
      <x:c r="B70" s="3" t="s">
        <x:v>399</x:v>
      </x:c>
      <x:c r="C70" s="3" t="s">
        <x:v>384</x:v>
      </x:c>
      <x:c r="D70" s="4" t="s">
        <x:v>21</x:v>
      </x:c>
      <x:c r="E70" s="3" t="s">
        <x:v>400</x:v>
      </x:c>
      <x:c r="F70" s="4" t="s">
        <x:v>26</x:v>
      </x:c>
      <x:c r="G70" s="4" t="s">
        <x:v>34</x:v>
      </x:c>
      <x:c r="H70" s="3" t="s">
        <x:v>401</x:v>
      </x:c>
      <x:c r="I70" s="3" t="s">
        <x:v>402</x:v>
      </x:c>
      <x:c r="J70" s="3" t="s">
        <x:v>403</x:v>
      </x:c>
      <x:c r="K70" s="3" t="s">
        <x:v>404</x:v>
      </x:c>
      <x:c r="L70" s="5" t="str">
        <x:v>Seat hold/lock timeout could not be verified: no visible hold timer/temporary-lock behavior was identifiable during the run and waiting 5-15 minutes was outside this execution.</x:v>
      </x:c>
      <x:c r="M70" s="6" t="str">
        <x:v>Blocked</x:v>
      </x:c>
      <x:c r="N70" s="4" t="s">
        <x:v>29</x:v>
      </x:c>
      <x:c r="O70" t="s">
        <x:v>57</x:v>
      </x:c>
      <x:c r="P70" t="str">
        <x:v>Patrik</x:v>
      </x:c>
      <x:c r="Q70" s="9" t="str">
        <x:v>2026-04-30</x:v>
      </x:c>
      <x:c r="R70" s="8" t="str">
        <x:v>Precondition/feature unclear.</x:v>
      </x:c>
    </x:row>
    <x:row r="71" ht="43.5">
      <x:c r="A71" s="2" t="s">
        <x:v>405</x:v>
      </x:c>
      <x:c r="B71" s="3" t="s">
        <x:v>406</x:v>
      </x:c>
      <x:c r="C71" s="3" t="s">
        <x:v>320</x:v>
      </x:c>
      <x:c r="D71" s="4" t="s">
        <x:v>33</x:v>
      </x:c>
      <x:c r="E71" s="3" t="s">
        <x:v>407</x:v>
      </x:c>
      <x:c r="F71" s="4" t="s">
        <x:v>23</x:v>
      </x:c>
      <x:c r="G71" s="4" t="s">
        <x:v>24</x:v>
      </x:c>
      <x:c r="H71" s="3" t="s">
        <x:v>408</x:v>
      </x:c>
      <x:c r="I71" s="3" t="s">
        <x:v>409</x:v>
      </x:c>
      <x:c r="J71" s="3" t="s">
        <x:v>410</x:v>
      </x:c>
      <x:c r="K71" s="3" t="s">
        <x:v>411</x:v>
      </x:c>
      <x:c r="L71" s="5" t="str">
        <x:v>Guest GET /api/bookings returned 404 route not found; expected 401/403 auth rejection without leaking data.</x:v>
      </x:c>
      <x:c r="M71" s="6" t="str">
        <x:v>Fail</x:v>
      </x:c>
      <x:c r="N71" s="4" t="s">
        <x:v>56</x:v>
      </x:c>
      <x:c r="O71" t="s">
        <x:v>397</x:v>
      </x:c>
      <x:c r="P71" t="str">
        <x:v>Patrik</x:v>
      </x:c>
      <x:c r="Q71" s="9" t="str">
        <x:v>2026-04-30</x:v>
      </x:c>
      <x:c r="R71" s="8" t="str">
        <x:v>Manual</x:v>
      </x:c>
    </x:row>
    <x:row r="72" ht="58">
      <x:c r="A72" s="2" t="s">
        <x:v>412</x:v>
      </x:c>
      <x:c r="B72" s="3" t="s">
        <x:v>413</x:v>
      </x:c>
      <x:c r="C72" s="3" t="s">
        <x:v>191</x:v>
      </x:c>
      <x:c r="D72" s="4" t="s">
        <x:v>33</x:v>
      </x:c>
      <x:c r="E72" s="3" t="s">
        <x:v>235</x:v>
      </x:c>
      <x:c r="F72" s="4" t="s">
        <x:v>80</x:v>
      </x:c>
      <x:c r="G72" s="4" t="s">
        <x:v>34</x:v>
      </x:c>
      <x:c r="H72" s="3" t="s">
        <x:v>414</x:v>
      </x:c>
      <x:c r="I72" s="3" t="s">
        <x:v>415</x:v>
      </x:c>
      <x:c r="J72" s="3" t="s">
        <x:v>416</x:v>
      </x:c>
      <x:c r="K72" s="3" t="s">
        <x:v>417</x:v>
      </x:c>
      <x:c r="L72" s="5" t="str">
        <x:v>Normal user POST /api/admin/screenings returned 403 application/json; {"error":"permission denied"}.</x:v>
      </x:c>
      <x:c r="M72" s="6" t="str">
        <x:v>Pass</x:v>
      </x:c>
      <x:c r="N72" s="4" t="s">
        <x:v>56</x:v>
      </x:c>
      <x:c r="O72" t="s">
        <x:v>57</x:v>
      </x:c>
      <x:c r="P72" t="str">
        <x:v>Patrik</x:v>
      </x:c>
      <x:c r="Q72" s="9" t="str">
        <x:v>2026-04-30</x:v>
      </x:c>
      <x:c r="R72" s="8" t="str">
        <x:v>Manual</x:v>
      </x:c>
    </x:row>
    <x:row r="73" ht="43.5">
      <x:c r="A73" s="2" t="s">
        <x:v>418</x:v>
      </x:c>
      <x:c r="B73" s="3" t="s">
        <x:v>419</x:v>
      </x:c>
      <x:c r="C73" s="3" t="s">
        <x:v>191</x:v>
      </x:c>
      <x:c r="D73" s="4" t="s">
        <x:v>33</x:v>
      </x:c>
      <x:c r="E73" s="3" t="s">
        <x:v>235</x:v>
      </x:c>
      <x:c r="F73" s="4" t="s">
        <x:v>80</x:v>
      </x:c>
      <x:c r="G73" s="4" t="s">
        <x:v>191</x:v>
      </x:c>
      <x:c r="H73" s="3" t="s">
        <x:v>420</x:v>
      </x:c>
      <x:c r="I73" s="3" t="s">
        <x:v>421</x:v>
      </x:c>
      <x:c r="J73" s="3" t="s">
        <x:v>422</x:v>
      </x:c>
      <x:c r="K73" s="3" t="s">
        <x:v>423</x:v>
      </x:c>
      <x:c r="L73" s="5" t="str">
        <x:v>Past-startTime admin validation was not executed because no valid admin credentials/session were available.</x:v>
      </x:c>
      <x:c r="M73" s="6" t="str">
        <x:v>Blocked</x:v>
      </x:c>
      <x:c r="N73" s="4" t="s">
        <x:v>29</x:v>
      </x:c>
      <x:c r="O73" t="s">
        <x:v>57</x:v>
      </x:c>
      <x:c r="P73" t="str">
        <x:v>Patrik</x:v>
      </x:c>
      <x:c r="Q73" s="9" t="str">
        <x:v>2026-04-30</x:v>
      </x:c>
      <x:c r="R73" s="8" t="str">
        <x:v>Precondition missing: admin login.</x:v>
      </x:c>
    </x:row>
    <x:row r="74" ht="43.5">
      <x:c r="A74" s="2" t="s">
        <x:v>424</x:v>
      </x:c>
      <x:c r="B74" s="3" t="s">
        <x:v>425</x:v>
      </x:c>
      <x:c r="C74" s="3" t="s">
        <x:v>384</x:v>
      </x:c>
      <x:c r="D74" s="4" t="s">
        <x:v>33</x:v>
      </x:c>
      <x:c r="E74" s="3" t="s">
        <x:v>407</x:v>
      </x:c>
      <x:c r="F74" s="4" t="s">
        <x:v>80</x:v>
      </x:c>
      <x:c r="G74" s="4" t="s">
        <x:v>34</x:v>
      </x:c>
      <x:c r="H74" s="3" t="s">
        <x:v>426</x:v>
      </x:c>
      <x:c r="I74" s="3" t="s">
        <x:v>427</x:v>
      </x:c>
      <x:c r="J74" s="3" t="s">
        <x:v>428</x:v>
      </x:c>
      <x:c r="K74" s="3" t="s">
        <x:v>429</x:v>
      </x:c>
      <x:c r="L74" s="5" t="str">
        <x:v>Authenticated POST /api/bookings with invalid seat returned 404 route not found; expected validation rejection for invalid seat.</x:v>
      </x:c>
      <x:c r="M74" s="6" t="str">
        <x:v>Fail</x:v>
      </x:c>
      <x:c r="N74" s="4" t="s">
        <x:v>29</x:v>
      </x:c>
      <x:c r="O74" t="s">
        <x:v>57</x:v>
      </x:c>
      <x:c r="P74" t="str">
        <x:v>Patrik</x:v>
      </x:c>
      <x:c r="Q74" s="9" t="str">
        <x:v>2026-04-30</x:v>
      </x:c>
      <x:c r="R74" s="8" t="str">
        <x:v>Manual</x:v>
      </x:c>
    </x:row>
    <x:row r="75" ht="58">
      <x:c r="A75" s="2" t="s">
        <x:v>430</x:v>
      </x:c>
      <x:c r="B75" s="3" t="s">
        <x:v>431</x:v>
      </x:c>
      <x:c r="C75" s="3" t="s">
        <x:v>432</x:v>
      </x:c>
      <x:c r="D75" s="4" t="s">
        <x:v>33</x:v>
      </x:c>
      <x:c r="E75" s="3" t="s">
        <x:v>433</x:v>
      </x:c>
      <x:c r="F75" s="4" t="s">
        <x:v>23</x:v>
      </x:c>
      <x:c r="G75" s="4" t="s">
        <x:v>24</x:v>
      </x:c>
      <x:c r="H75" s="3" t="s">
        <x:v>434</x:v>
      </x:c>
      <x:c r="I75" s="3" t="s">
        <x:v>435</x:v>
      </x:c>
      <x:c r="J75" s="3" t="s">
        <x:v>436</x:v>
      </x:c>
      <x:c r="K75" s="3" t="s">
        <x:v>437</x:v>
      </x:c>
      <x:c r="L75" s="5" t="str">
        <x:v>GET /api/movies?query=' OR 1=1 -- returned 200 application/json; no server error and JSON response remained valid. Query appears ignored by current endpoint.</x:v>
      </x:c>
      <x:c r="M75" s="6" t="str">
        <x:v>Pass</x:v>
      </x:c>
      <x:c r="N75" s="4" t="s">
        <x:v>56</x:v>
      </x:c>
      <x:c r="O75" t="s">
        <x:v>397</x:v>
      </x:c>
      <x:c r="P75" t="str">
        <x:v>Patrik</x:v>
      </x:c>
      <x:c r="Q75" s="9" t="str">
        <x:v>2026-04-30</x:v>
      </x:c>
      <x:c r="R75" s="8" t="str">
        <x:v>Manual</x:v>
      </x:c>
    </x:row>
    <x:row r="76">
      <x:c r="B76" s="8"/>
      <x:c r="E76" s="8"/>
      <x:c r="H76" s="8"/>
      <x:c r="I76" s="8"/>
      <x:c r="J76" s="8"/>
      <x:c r="K76" s="8"/>
      <x:c r="L76" s="8"/>
      <x:c r="Q76" s="9"/>
      <x:c r="R76" s="8"/>
    </x:row>
    <x:row r="77">
      <x:c r="B77" s="8"/>
      <x:c r="E77" s="8"/>
      <x:c r="H77" s="8"/>
      <x:c r="I77" s="8"/>
      <x:c r="J77" s="8"/>
      <x:c r="K77" s="8"/>
      <x:c r="L77" s="8"/>
      <x:c r="Q77" s="9"/>
      <x:c r="R77" s="8"/>
    </x:row>
    <x:row r="78">
      <x:c r="B78" s="8"/>
      <x:c r="E78" s="8"/>
      <x:c r="H78" s="8"/>
      <x:c r="I78" s="8"/>
      <x:c r="J78" s="8"/>
      <x:c r="K78" s="8"/>
      <x:c r="L78" s="8"/>
      <x:c r="Q78" s="9"/>
      <x:c r="R78" s="8"/>
    </x:row>
    <x:row r="79">
      <x:c r="B79" s="8"/>
      <x:c r="E79" s="8"/>
      <x:c r="H79" s="8"/>
      <x:c r="I79" s="8"/>
      <x:c r="J79" s="8"/>
      <x:c r="K79" s="8"/>
      <x:c r="L79" s="8"/>
      <x:c r="Q79" s="9"/>
      <x:c r="R79" s="8"/>
    </x:row>
    <x:row r="80">
      <x:c r="B80" s="8"/>
      <x:c r="E80" s="8"/>
      <x:c r="H80" s="8"/>
      <x:c r="I80" s="8"/>
      <x:c r="J80" s="8"/>
      <x:c r="K80" s="8"/>
      <x:c r="L80" s="8"/>
      <x:c r="Q80" s="9"/>
      <x:c r="R80" s="8"/>
    </x:row>
    <x:row r="81">
      <x:c r="B81" s="8"/>
      <x:c r="E81" s="8"/>
      <x:c r="H81" s="8"/>
      <x:c r="I81" s="8"/>
      <x:c r="J81" s="8"/>
      <x:c r="K81" s="8"/>
      <x:c r="L81" s="8"/>
      <x:c r="Q81" s="9"/>
      <x:c r="R81" s="8"/>
    </x:row>
    <x:row r="82">
      <x:c r="B82" s="8"/>
      <x:c r="E82" s="8"/>
      <x:c r="H82" s="8"/>
      <x:c r="I82" s="8"/>
      <x:c r="J82" s="8"/>
      <x:c r="K82" s="8"/>
      <x:c r="L82" s="8"/>
      <x:c r="Q82" s="9"/>
      <x:c r="R82" s="8"/>
    </x:row>
    <x:row r="83">
      <x:c r="B83" s="8"/>
      <x:c r="E83" s="8"/>
      <x:c r="H83" s="8"/>
      <x:c r="I83" s="8"/>
      <x:c r="J83" s="8"/>
      <x:c r="K83" s="8"/>
      <x:c r="L83" s="8"/>
      <x:c r="Q83" s="9"/>
      <x:c r="R83" s="8"/>
    </x:row>
    <x:row r="84">
      <x:c r="B84" s="8"/>
      <x:c r="E84" s="8"/>
      <x:c r="H84" s="8"/>
      <x:c r="I84" s="8"/>
      <x:c r="J84" s="8"/>
      <x:c r="K84" s="8"/>
      <x:c r="L84" s="8"/>
      <x:c r="Q84" s="9"/>
      <x:c r="R84" s="8"/>
    </x:row>
    <x:row r="85">
      <x:c r="B85" s="8"/>
      <x:c r="E85" s="8"/>
      <x:c r="H85" s="8"/>
      <x:c r="I85" s="8"/>
      <x:c r="J85" s="8"/>
      <x:c r="K85" s="8"/>
      <x:c r="L85" s="8"/>
      <x:c r="Q85" s="9"/>
      <x:c r="R85" s="8"/>
    </x:row>
    <x:row r="86">
      <x:c r="B86" s="8"/>
      <x:c r="E86" s="8"/>
      <x:c r="H86" s="8"/>
      <x:c r="I86" s="8"/>
      <x:c r="J86" s="8"/>
      <x:c r="K86" s="8"/>
      <x:c r="L86" s="8"/>
      <x:c r="Q86" s="9"/>
      <x:c r="R86" s="8"/>
    </x:row>
    <x:row r="87">
      <x:c r="B87" s="8"/>
      <x:c r="E87" s="8"/>
      <x:c r="H87" s="8"/>
      <x:c r="I87" s="8"/>
      <x:c r="J87" s="8"/>
      <x:c r="K87" s="8"/>
      <x:c r="L87" s="8"/>
      <x:c r="Q87" s="9"/>
      <x:c r="R87" s="8"/>
    </x:row>
    <x:row r="88">
      <x:c r="B88" s="8"/>
      <x:c r="E88" s="8"/>
      <x:c r="H88" s="8"/>
      <x:c r="I88" s="8"/>
      <x:c r="J88" s="8"/>
      <x:c r="K88" s="8"/>
      <x:c r="L88" s="8"/>
      <x:c r="Q88" s="9"/>
      <x:c r="R88" s="8"/>
    </x:row>
    <x:row r="89">
      <x:c r="B89" s="8"/>
      <x:c r="E89" s="8"/>
      <x:c r="H89" s="8"/>
      <x:c r="I89" s="8"/>
      <x:c r="J89" s="8"/>
      <x:c r="K89" s="8"/>
      <x:c r="L89" s="8"/>
      <x:c r="Q89" s="9"/>
      <x:c r="R89" s="8"/>
    </x:row>
    <x:row r="90">
      <x:c r="B90" s="8"/>
      <x:c r="E90" s="8"/>
      <x:c r="H90" s="8"/>
      <x:c r="I90" s="8"/>
      <x:c r="J90" s="8"/>
      <x:c r="K90" s="8"/>
      <x:c r="L90" s="8"/>
      <x:c r="Q90" s="9"/>
      <x:c r="R90" s="8"/>
    </x:row>
    <x:row r="91">
      <x:c r="B91" s="8"/>
      <x:c r="E91" s="8"/>
      <x:c r="H91" s="8"/>
      <x:c r="I91" s="8"/>
      <x:c r="J91" s="8"/>
      <x:c r="K91" s="8"/>
      <x:c r="L91" s="8"/>
      <x:c r="Q91" s="9"/>
      <x:c r="R91" s="8"/>
    </x:row>
    <x:row r="92">
      <x:c r="B92" s="8"/>
      <x:c r="E92" s="8"/>
      <x:c r="H92" s="8"/>
      <x:c r="I92" s="8"/>
      <x:c r="J92" s="8"/>
      <x:c r="K92" s="8"/>
      <x:c r="L92" s="8"/>
      <x:c r="Q92" s="9"/>
      <x:c r="R92" s="8"/>
    </x:row>
    <x:row r="93">
      <x:c r="B93" s="8"/>
      <x:c r="E93" s="8"/>
      <x:c r="H93" s="8"/>
      <x:c r="I93" s="8"/>
      <x:c r="J93" s="8"/>
      <x:c r="K93" s="8"/>
      <x:c r="L93" s="8"/>
      <x:c r="Q93" s="9"/>
      <x:c r="R93" s="8"/>
    </x:row>
    <x:row r="94">
      <x:c r="B94" s="8"/>
      <x:c r="E94" s="8"/>
      <x:c r="H94" s="8"/>
      <x:c r="I94" s="8"/>
      <x:c r="J94" s="8"/>
      <x:c r="K94" s="8"/>
      <x:c r="L94" s="8"/>
      <x:c r="Q94" s="9"/>
      <x:c r="R94" s="8"/>
    </x:row>
    <x:row r="95">
      <x:c r="B95" s="8"/>
      <x:c r="E95" s="8"/>
      <x:c r="H95" s="8"/>
      <x:c r="I95" s="8"/>
      <x:c r="J95" s="8"/>
      <x:c r="K95" s="8"/>
      <x:c r="L95" s="8"/>
      <x:c r="Q95" s="9"/>
      <x:c r="R95" s="8"/>
    </x:row>
    <x:row r="96">
      <x:c r="B96" s="8"/>
      <x:c r="E96" s="8"/>
      <x:c r="H96" s="8"/>
      <x:c r="I96" s="8"/>
      <x:c r="J96" s="8"/>
      <x:c r="K96" s="8"/>
      <x:c r="L96" s="8"/>
      <x:c r="Q96" s="9"/>
      <x:c r="R96" s="8"/>
    </x:row>
    <x:row r="97">
      <x:c r="B97" s="8"/>
      <x:c r="E97" s="8"/>
      <x:c r="H97" s="8"/>
      <x:c r="I97" s="8"/>
      <x:c r="J97" s="8"/>
      <x:c r="K97" s="8"/>
      <x:c r="L97" s="8"/>
      <x:c r="Q97" s="9"/>
      <x:c r="R97" s="8"/>
    </x:row>
    <x:row r="98">
      <x:c r="B98" s="8"/>
      <x:c r="E98" s="8"/>
      <x:c r="H98" s="8"/>
      <x:c r="I98" s="8"/>
      <x:c r="J98" s="8"/>
      <x:c r="K98" s="8"/>
      <x:c r="L98" s="8"/>
      <x:c r="Q98" s="9"/>
      <x:c r="R98" s="8"/>
    </x:row>
    <x:row r="99">
      <x:c r="B99" s="8"/>
      <x:c r="E99" s="8"/>
      <x:c r="H99" s="8"/>
      <x:c r="I99" s="8"/>
      <x:c r="J99" s="8"/>
      <x:c r="K99" s="8"/>
      <x:c r="L99" s="8"/>
      <x:c r="Q99" s="9"/>
      <x:c r="R99" s="8"/>
    </x:row>
    <x:row r="100">
      <x:c r="B100" s="8"/>
      <x:c r="E100" s="8"/>
      <x:c r="H100" s="8"/>
      <x:c r="I100" s="8"/>
      <x:c r="J100" s="8"/>
      <x:c r="K100" s="8"/>
      <x:c r="L100" s="8"/>
      <x:c r="Q100" s="9"/>
      <x:c r="R100" s="8"/>
    </x:row>
    <x:row r="101">
      <x:c r="B101" s="8"/>
      <x:c r="E101" s="8"/>
      <x:c r="H101" s="8"/>
      <x:c r="I101" s="8"/>
      <x:c r="J101" s="8"/>
      <x:c r="K101" s="8"/>
      <x:c r="L101" s="8"/>
      <x:c r="Q101" s="9"/>
      <x:c r="R101" s="8"/>
    </x:row>
    <x:row r="102">
      <x:c r="B102" s="8"/>
      <x:c r="E102" s="8"/>
      <x:c r="H102" s="8"/>
      <x:c r="I102" s="8"/>
      <x:c r="J102" s="8"/>
      <x:c r="K102" s="8"/>
      <x:c r="L102" s="8"/>
      <x:c r="Q102" s="9"/>
      <x:c r="R102" s="8"/>
    </x:row>
    <x:row r="103">
      <x:c r="B103" s="8"/>
      <x:c r="E103" s="8"/>
      <x:c r="H103" s="8"/>
      <x:c r="I103" s="8"/>
      <x:c r="J103" s="8"/>
      <x:c r="K103" s="8"/>
      <x:c r="L103" s="8"/>
      <x:c r="Q103" s="9"/>
      <x:c r="R103" s="8"/>
    </x:row>
    <x:row r="104">
      <x:c r="B104" s="8"/>
      <x:c r="E104" s="8"/>
      <x:c r="H104" s="8"/>
      <x:c r="I104" s="8"/>
      <x:c r="J104" s="8"/>
      <x:c r="K104" s="8"/>
      <x:c r="L104" s="8"/>
      <x:c r="Q104" s="9"/>
      <x:c r="R104" s="8"/>
    </x:row>
    <x:row r="105">
      <x:c r="B105" s="8"/>
      <x:c r="E105" s="8"/>
      <x:c r="H105" s="8"/>
      <x:c r="I105" s="8"/>
      <x:c r="J105" s="8"/>
      <x:c r="K105" s="8"/>
      <x:c r="L105" s="8"/>
      <x:c r="Q105" s="9"/>
      <x:c r="R105" s="8"/>
    </x:row>
    <x:row r="106">
      <x:c r="B106" s="8"/>
      <x:c r="E106" s="8"/>
      <x:c r="H106" s="8"/>
      <x:c r="I106" s="8"/>
      <x:c r="J106" s="8"/>
      <x:c r="K106" s="8"/>
      <x:c r="L106" s="8"/>
      <x:c r="Q106" s="9"/>
      <x:c r="R106" s="8"/>
    </x:row>
    <x:row r="107">
      <x:c r="B107" s="8"/>
      <x:c r="E107" s="8"/>
      <x:c r="H107" s="8"/>
      <x:c r="I107" s="8"/>
      <x:c r="J107" s="8"/>
      <x:c r="K107" s="8"/>
      <x:c r="L107" s="8"/>
      <x:c r="Q107" s="9"/>
      <x:c r="R107" s="8"/>
    </x:row>
    <x:row r="108">
      <x:c r="B108" s="8"/>
      <x:c r="E108" s="8"/>
      <x:c r="H108" s="8"/>
      <x:c r="I108" s="8"/>
      <x:c r="J108" s="8"/>
      <x:c r="K108" s="8"/>
      <x:c r="L108" s="8"/>
      <x:c r="Q108" s="9"/>
      <x:c r="R108" s="8"/>
    </x:row>
    <x:row r="109">
      <x:c r="B109" s="8"/>
      <x:c r="E109" s="8"/>
      <x:c r="H109" s="8"/>
      <x:c r="I109" s="8"/>
      <x:c r="J109" s="8"/>
      <x:c r="K109" s="8"/>
      <x:c r="L109" s="8"/>
      <x:c r="Q109" s="9"/>
      <x:c r="R109" s="8"/>
    </x:row>
    <x:row r="110">
      <x:c r="B110" s="8"/>
      <x:c r="E110" s="8"/>
      <x:c r="H110" s="8"/>
      <x:c r="I110" s="8"/>
      <x:c r="J110" s="8"/>
      <x:c r="K110" s="8"/>
      <x:c r="L110" s="8"/>
      <x:c r="Q110" s="9"/>
      <x:c r="R110" s="8"/>
    </x:row>
    <x:row r="111">
      <x:c r="B111" s="8"/>
      <x:c r="E111" s="8"/>
      <x:c r="H111" s="8"/>
      <x:c r="I111" s="8"/>
      <x:c r="J111" s="8"/>
      <x:c r="K111" s="8"/>
      <x:c r="L111" s="8"/>
      <x:c r="Q111" s="9"/>
      <x:c r="R111" s="8"/>
    </x:row>
    <x:row r="112">
      <x:c r="B112" s="8"/>
      <x:c r="E112" s="8"/>
      <x:c r="H112" s="8"/>
      <x:c r="I112" s="8"/>
      <x:c r="J112" s="8"/>
      <x:c r="K112" s="8"/>
      <x:c r="L112" s="8"/>
      <x:c r="Q112" s="9"/>
      <x:c r="R112" s="8"/>
    </x:row>
    <x:row r="113">
      <x:c r="B113" s="8"/>
      <x:c r="E113" s="8"/>
      <x:c r="H113" s="8"/>
      <x:c r="I113" s="8"/>
      <x:c r="J113" s="8"/>
      <x:c r="K113" s="8"/>
      <x:c r="L113" s="8"/>
      <x:c r="Q113" s="9"/>
      <x:c r="R113" s="8"/>
    </x:row>
    <x:row r="114">
      <x:c r="B114" s="8"/>
      <x:c r="E114" s="8"/>
      <x:c r="H114" s="8"/>
      <x:c r="I114" s="8"/>
      <x:c r="J114" s="8"/>
      <x:c r="K114" s="8"/>
      <x:c r="L114" s="8"/>
      <x:c r="Q114" s="9"/>
      <x:c r="R114" s="8"/>
    </x:row>
    <x:row r="115">
      <x:c r="B115" s="8"/>
      <x:c r="E115" s="8"/>
      <x:c r="H115" s="8"/>
      <x:c r="I115" s="8"/>
      <x:c r="J115" s="8"/>
      <x:c r="K115" s="8"/>
      <x:c r="L115" s="8"/>
      <x:c r="Q115" s="9"/>
      <x:c r="R115" s="8"/>
    </x:row>
    <x:row r="116">
      <x:c r="B116" s="8"/>
      <x:c r="E116" s="8"/>
      <x:c r="H116" s="8"/>
      <x:c r="I116" s="8"/>
      <x:c r="J116" s="8"/>
      <x:c r="K116" s="8"/>
      <x:c r="L116" s="8"/>
      <x:c r="Q116" s="9"/>
      <x:c r="R116" s="8"/>
    </x:row>
    <x:row r="117">
      <x:c r="B117" s="8"/>
      <x:c r="E117" s="8"/>
      <x:c r="H117" s="8"/>
      <x:c r="I117" s="8"/>
      <x:c r="J117" s="8"/>
      <x:c r="K117" s="8"/>
      <x:c r="L117" s="8"/>
      <x:c r="Q117" s="9"/>
      <x:c r="R117" s="8"/>
    </x:row>
    <x:row r="118">
      <x:c r="B118" s="8"/>
      <x:c r="E118" s="8"/>
      <x:c r="H118" s="8"/>
      <x:c r="I118" s="8"/>
      <x:c r="J118" s="8"/>
      <x:c r="K118" s="8"/>
      <x:c r="L118" s="8"/>
      <x:c r="Q118" s="9"/>
      <x:c r="R118" s="8"/>
    </x:row>
    <x:row r="119">
      <x:c r="B119" s="8"/>
      <x:c r="E119" s="8"/>
      <x:c r="H119" s="8"/>
      <x:c r="I119" s="8"/>
      <x:c r="J119" s="8"/>
      <x:c r="K119" s="8"/>
      <x:c r="L119" s="8"/>
      <x:c r="Q119" s="9"/>
      <x:c r="R119" s="8"/>
    </x:row>
    <x:row r="120">
      <x:c r="B120" s="8"/>
      <x:c r="E120" s="8"/>
      <x:c r="H120" s="8"/>
      <x:c r="I120" s="8"/>
      <x:c r="J120" s="8"/>
      <x:c r="K120" s="8"/>
      <x:c r="L120" s="8"/>
      <x:c r="Q120" s="9"/>
      <x:c r="R120" s="8"/>
    </x:row>
    <x:row r="121">
      <x:c r="B121" s="8"/>
      <x:c r="E121" s="8"/>
      <x:c r="H121" s="8"/>
      <x:c r="I121" s="8"/>
      <x:c r="J121" s="8"/>
      <x:c r="K121" s="8"/>
      <x:c r="L121" s="8"/>
      <x:c r="Q121" s="9"/>
      <x:c r="R121" s="8"/>
    </x:row>
    <x:row r="122">
      <x:c r="B122" s="8"/>
      <x:c r="E122" s="8"/>
      <x:c r="H122" s="8"/>
      <x:c r="I122" s="8"/>
      <x:c r="J122" s="8"/>
      <x:c r="K122" s="8"/>
      <x:c r="L122" s="8"/>
      <x:c r="Q122" s="9"/>
      <x:c r="R122" s="8"/>
    </x:row>
    <x:row r="123">
      <x:c r="B123" s="8"/>
      <x:c r="E123" s="8"/>
      <x:c r="H123" s="8"/>
      <x:c r="I123" s="8"/>
      <x:c r="J123" s="8"/>
      <x:c r="K123" s="8"/>
      <x:c r="L123" s="8"/>
      <x:c r="Q123" s="9"/>
      <x:c r="R123" s="8"/>
    </x:row>
    <x:row r="124">
      <x:c r="B124" s="8"/>
      <x:c r="E124" s="8"/>
      <x:c r="H124" s="8"/>
      <x:c r="I124" s="8"/>
      <x:c r="J124" s="8"/>
      <x:c r="K124" s="8"/>
      <x:c r="L124" s="8"/>
      <x:c r="Q124" s="9"/>
      <x:c r="R124" s="8"/>
    </x:row>
    <x:row r="125">
      <x:c r="B125" s="8"/>
      <x:c r="E125" s="8"/>
      <x:c r="H125" s="8"/>
      <x:c r="I125" s="8"/>
      <x:c r="J125" s="8"/>
      <x:c r="K125" s="8"/>
      <x:c r="L125" s="8"/>
      <x:c r="Q125" s="9"/>
      <x:c r="R125" s="8"/>
    </x:row>
    <x:row r="126">
      <x:c r="B126" s="8"/>
      <x:c r="E126" s="8"/>
      <x:c r="H126" s="8"/>
      <x:c r="I126" s="8"/>
      <x:c r="J126" s="8"/>
      <x:c r="K126" s="8"/>
      <x:c r="L126" s="8"/>
      <x:c r="Q126" s="9"/>
      <x:c r="R126" s="8"/>
    </x:row>
    <x:row r="127">
      <x:c r="B127" s="8"/>
      <x:c r="E127" s="8"/>
      <x:c r="H127" s="8"/>
      <x:c r="I127" s="8"/>
      <x:c r="J127" s="8"/>
      <x:c r="K127" s="8"/>
      <x:c r="L127" s="8"/>
      <x:c r="Q127" s="9"/>
      <x:c r="R127" s="8"/>
    </x:row>
    <x:row r="128">
      <x:c r="B128" s="8"/>
      <x:c r="E128" s="8"/>
      <x:c r="H128" s="8"/>
      <x:c r="I128" s="8"/>
      <x:c r="J128" s="8"/>
      <x:c r="K128" s="8"/>
      <x:c r="L128" s="8"/>
      <x:c r="Q128" s="9"/>
      <x:c r="R128" s="8"/>
    </x:row>
    <x:row r="129">
      <x:c r="B129" s="8"/>
      <x:c r="E129" s="8"/>
      <x:c r="H129" s="8"/>
      <x:c r="I129" s="8"/>
      <x:c r="J129" s="8"/>
      <x:c r="K129" s="8"/>
      <x:c r="L129" s="8"/>
      <x:c r="Q129" s="9"/>
      <x:c r="R129" s="8"/>
    </x:row>
    <x:row r="130">
      <x:c r="B130" s="8"/>
      <x:c r="E130" s="8"/>
      <x:c r="H130" s="8"/>
      <x:c r="I130" s="8"/>
      <x:c r="J130" s="8"/>
      <x:c r="K130" s="8"/>
      <x:c r="L130" s="8"/>
      <x:c r="Q130" s="9"/>
      <x:c r="R130" s="8"/>
    </x:row>
    <x:row r="131">
      <x:c r="B131" s="8"/>
      <x:c r="E131" s="8"/>
      <x:c r="H131" s="8"/>
      <x:c r="I131" s="8"/>
      <x:c r="J131" s="8"/>
      <x:c r="K131" s="8"/>
      <x:c r="L131" s="8"/>
      <x:c r="Q131" s="9"/>
      <x:c r="R131" s="8"/>
    </x:row>
    <x:row r="132">
      <x:c r="B132" s="8"/>
      <x:c r="E132" s="8"/>
      <x:c r="H132" s="8"/>
      <x:c r="I132" s="8"/>
      <x:c r="J132" s="8"/>
      <x:c r="K132" s="8"/>
      <x:c r="L132" s="8"/>
      <x:c r="Q132" s="9"/>
      <x:c r="R132" s="8"/>
    </x:row>
    <x:row r="133">
      <x:c r="B133" s="8"/>
      <x:c r="E133" s="8"/>
      <x:c r="H133" s="8"/>
      <x:c r="I133" s="8"/>
      <x:c r="J133" s="8"/>
      <x:c r="K133" s="8"/>
      <x:c r="L133" s="8"/>
      <x:c r="Q133" s="9"/>
      <x:c r="R133" s="8"/>
    </x:row>
    <x:row r="134">
      <x:c r="B134" s="8"/>
      <x:c r="E134" s="8"/>
      <x:c r="H134" s="8"/>
      <x:c r="I134" s="8"/>
      <x:c r="J134" s="8"/>
      <x:c r="K134" s="8"/>
      <x:c r="L134" s="8"/>
      <x:c r="Q134" s="9"/>
      <x:c r="R134" s="8"/>
    </x:row>
    <x:row r="135">
      <x:c r="B135" s="8"/>
      <x:c r="E135" s="8"/>
      <x:c r="H135" s="8"/>
      <x:c r="I135" s="8"/>
      <x:c r="J135" s="8"/>
      <x:c r="K135" s="8"/>
      <x:c r="L135" s="8"/>
      <x:c r="Q135" s="9"/>
      <x:c r="R135" s="8"/>
    </x:row>
    <x:row r="136">
      <x:c r="B136" s="8"/>
      <x:c r="E136" s="8"/>
      <x:c r="H136" s="8"/>
      <x:c r="I136" s="8"/>
      <x:c r="J136" s="8"/>
      <x:c r="K136" s="8"/>
      <x:c r="L136" s="8"/>
      <x:c r="Q136" s="9"/>
      <x:c r="R136" s="8"/>
    </x:row>
    <x:row r="137">
      <x:c r="B137" s="8"/>
      <x:c r="E137" s="8"/>
      <x:c r="H137" s="8"/>
      <x:c r="I137" s="8"/>
      <x:c r="J137" s="8"/>
      <x:c r="K137" s="8"/>
      <x:c r="L137" s="8"/>
      <x:c r="Q137" s="9"/>
      <x:c r="R137" s="8"/>
    </x:row>
    <x:row r="138">
      <x:c r="B138" s="8"/>
      <x:c r="E138" s="8"/>
      <x:c r="H138" s="8"/>
      <x:c r="I138" s="8"/>
      <x:c r="J138" s="8"/>
      <x:c r="K138" s="8"/>
      <x:c r="L138" s="8"/>
      <x:c r="Q138" s="9"/>
      <x:c r="R138" s="8"/>
    </x:row>
    <x:row r="139">
      <x:c r="B139" s="8"/>
      <x:c r="E139" s="8"/>
      <x:c r="H139" s="8"/>
      <x:c r="I139" s="8"/>
      <x:c r="J139" s="8"/>
      <x:c r="K139" s="8"/>
      <x:c r="L139" s="8"/>
      <x:c r="Q139" s="9"/>
      <x:c r="R139" s="8"/>
    </x:row>
    <x:row r="140">
      <x:c r="B140" s="8"/>
      <x:c r="E140" s="8"/>
      <x:c r="H140" s="8"/>
      <x:c r="I140" s="8"/>
      <x:c r="J140" s="8"/>
      <x:c r="K140" s="8"/>
      <x:c r="L140" s="8"/>
      <x:c r="Q140" s="9"/>
      <x:c r="R140" s="8"/>
    </x:row>
    <x:row r="141">
      <x:c r="B141" s="8"/>
      <x:c r="E141" s="8"/>
      <x:c r="H141" s="8"/>
      <x:c r="I141" s="8"/>
      <x:c r="J141" s="8"/>
      <x:c r="K141" s="8"/>
      <x:c r="L141" s="8"/>
      <x:c r="Q141" s="9"/>
      <x:c r="R141" s="8"/>
    </x:row>
    <x:row r="142">
      <x:c r="B142" s="8"/>
      <x:c r="E142" s="8"/>
      <x:c r="H142" s="8"/>
      <x:c r="I142" s="8"/>
      <x:c r="J142" s="8"/>
      <x:c r="K142" s="8"/>
      <x:c r="L142" s="8"/>
      <x:c r="Q142" s="9"/>
      <x:c r="R142" s="8"/>
    </x:row>
    <x:row r="143">
      <x:c r="B143" s="8"/>
      <x:c r="E143" s="8"/>
      <x:c r="H143" s="8"/>
      <x:c r="I143" s="8"/>
      <x:c r="J143" s="8"/>
      <x:c r="K143" s="8"/>
      <x:c r="L143" s="8"/>
      <x:c r="Q143" s="9"/>
      <x:c r="R143" s="8"/>
    </x:row>
    <x:row r="144">
      <x:c r="B144" s="8"/>
      <x:c r="E144" s="8"/>
      <x:c r="H144" s="8"/>
      <x:c r="I144" s="8"/>
      <x:c r="J144" s="8"/>
      <x:c r="K144" s="8"/>
      <x:c r="L144" s="8"/>
      <x:c r="Q144" s="9"/>
      <x:c r="R144" s="8"/>
    </x:row>
    <x:row r="145">
      <x:c r="B145" s="8"/>
      <x:c r="E145" s="8"/>
      <x:c r="H145" s="8"/>
      <x:c r="I145" s="8"/>
      <x:c r="J145" s="8"/>
      <x:c r="K145" s="8"/>
      <x:c r="L145" s="8"/>
      <x:c r="Q145" s="9"/>
      <x:c r="R145" s="8"/>
    </x:row>
    <x:row r="146">
      <x:c r="B146" s="8"/>
      <x:c r="E146" s="8"/>
      <x:c r="H146" s="8"/>
      <x:c r="I146" s="8"/>
      <x:c r="J146" s="8"/>
      <x:c r="K146" s="8"/>
      <x:c r="L146" s="8"/>
      <x:c r="Q146" s="9"/>
      <x:c r="R146" s="8"/>
    </x:row>
    <x:row r="147">
      <x:c r="B147" s="8"/>
      <x:c r="E147" s="8"/>
      <x:c r="H147" s="8"/>
      <x:c r="I147" s="8"/>
      <x:c r="J147" s="8"/>
      <x:c r="K147" s="8"/>
      <x:c r="L147" s="8"/>
      <x:c r="Q147" s="9"/>
      <x:c r="R147" s="8"/>
    </x:row>
    <x:row r="148">
      <x:c r="B148" s="8"/>
      <x:c r="E148" s="8"/>
      <x:c r="H148" s="8"/>
      <x:c r="I148" s="8"/>
      <x:c r="J148" s="8"/>
      <x:c r="K148" s="8"/>
      <x:c r="L148" s="8"/>
      <x:c r="Q148" s="9"/>
      <x:c r="R148" s="8"/>
    </x:row>
    <x:row r="149">
      <x:c r="B149" s="8"/>
      <x:c r="E149" s="8"/>
      <x:c r="H149" s="8"/>
      <x:c r="I149" s="8"/>
      <x:c r="J149" s="8"/>
      <x:c r="K149" s="8"/>
      <x:c r="L149" s="8"/>
      <x:c r="Q149" s="9"/>
      <x:c r="R149" s="8"/>
    </x:row>
    <x:row r="150">
      <x:c r="B150" s="8"/>
      <x:c r="E150" s="8"/>
      <x:c r="H150" s="8"/>
      <x:c r="I150" s="8"/>
      <x:c r="J150" s="8"/>
      <x:c r="K150" s="8"/>
      <x:c r="L150" s="8"/>
      <x:c r="Q150" s="9"/>
      <x:c r="R150" s="8"/>
    </x:row>
    <x:row r="151">
      <x:c r="B151" s="8"/>
      <x:c r="E151" s="8"/>
      <x:c r="H151" s="8"/>
      <x:c r="I151" s="8"/>
      <x:c r="J151" s="8"/>
      <x:c r="K151" s="8"/>
      <x:c r="L151" s="8"/>
      <x:c r="Q151" s="9"/>
      <x:c r="R151" s="8"/>
    </x:row>
    <x:row r="152">
      <x:c r="B152" s="8"/>
      <x:c r="E152" s="8"/>
      <x:c r="H152" s="8"/>
      <x:c r="I152" s="8"/>
      <x:c r="J152" s="8"/>
      <x:c r="K152" s="8"/>
      <x:c r="L152" s="8"/>
      <x:c r="Q152" s="9"/>
      <x:c r="R152" s="8"/>
    </x:row>
    <x:row r="153">
      <x:c r="B153" s="8"/>
      <x:c r="E153" s="8"/>
      <x:c r="H153" s="8"/>
      <x:c r="I153" s="8"/>
      <x:c r="J153" s="8"/>
      <x:c r="K153" s="8"/>
      <x:c r="L153" s="8"/>
      <x:c r="Q153" s="9"/>
      <x:c r="R153" s="8"/>
    </x:row>
    <x:row r="154">
      <x:c r="B154" s="8"/>
      <x:c r="E154" s="8"/>
      <x:c r="H154" s="8"/>
      <x:c r="I154" s="8"/>
      <x:c r="J154" s="8"/>
      <x:c r="K154" s="8"/>
      <x:c r="L154" s="8"/>
      <x:c r="Q154" s="9"/>
      <x:c r="R154" s="8"/>
    </x:row>
    <x:row r="155">
      <x:c r="B155" s="8"/>
      <x:c r="E155" s="8"/>
      <x:c r="H155" s="8"/>
      <x:c r="I155" s="8"/>
      <x:c r="J155" s="8"/>
      <x:c r="K155" s="8"/>
      <x:c r="L155" s="8"/>
      <x:c r="Q155" s="9"/>
      <x:c r="R155" s="8"/>
    </x:row>
    <x:row r="156">
      <x:c r="B156" s="8"/>
      <x:c r="E156" s="8"/>
      <x:c r="H156" s="8"/>
      <x:c r="I156" s="8"/>
      <x:c r="J156" s="8"/>
      <x:c r="K156" s="8"/>
      <x:c r="L156" s="8"/>
      <x:c r="Q156" s="9"/>
      <x:c r="R156" s="8"/>
    </x:row>
    <x:row r="157">
      <x:c r="B157" s="8"/>
      <x:c r="E157" s="8"/>
      <x:c r="H157" s="8"/>
      <x:c r="I157" s="8"/>
      <x:c r="J157" s="8"/>
      <x:c r="K157" s="8"/>
      <x:c r="L157" s="8"/>
      <x:c r="Q157" s="9"/>
      <x:c r="R157" s="8"/>
    </x:row>
    <x:row r="158">
      <x:c r="B158" s="8"/>
      <x:c r="E158" s="8"/>
      <x:c r="H158" s="8"/>
      <x:c r="I158" s="8"/>
      <x:c r="J158" s="8"/>
      <x:c r="K158" s="8"/>
      <x:c r="L158" s="8"/>
      <x:c r="Q158" s="9"/>
      <x:c r="R158" s="8"/>
    </x:row>
    <x:row r="159">
      <x:c r="B159" s="8"/>
      <x:c r="E159" s="8"/>
      <x:c r="H159" s="8"/>
      <x:c r="I159" s="8"/>
      <x:c r="J159" s="8"/>
      <x:c r="K159" s="8"/>
      <x:c r="L159" s="8"/>
      <x:c r="Q159" s="9"/>
      <x:c r="R159" s="8"/>
    </x:row>
    <x:row r="160">
      <x:c r="B160" s="8"/>
      <x:c r="E160" s="8"/>
      <x:c r="H160" s="8"/>
      <x:c r="I160" s="8"/>
      <x:c r="J160" s="8"/>
      <x:c r="K160" s="8"/>
      <x:c r="L160" s="8"/>
      <x:c r="Q160" s="9"/>
      <x:c r="R160" s="8"/>
    </x:row>
    <x:row r="161">
      <x:c r="B161" s="8"/>
      <x:c r="E161" s="8"/>
      <x:c r="H161" s="8"/>
      <x:c r="I161" s="8"/>
      <x:c r="J161" s="8"/>
      <x:c r="K161" s="8"/>
      <x:c r="L161" s="8"/>
      <x:c r="Q161" s="9"/>
      <x:c r="R161" s="8"/>
    </x:row>
    <x:row r="162">
      <x:c r="B162" s="8"/>
      <x:c r="E162" s="8"/>
      <x:c r="H162" s="8"/>
      <x:c r="I162" s="8"/>
      <x:c r="J162" s="8"/>
      <x:c r="K162" s="8"/>
      <x:c r="L162" s="8"/>
      <x:c r="Q162" s="9"/>
      <x:c r="R162" s="8"/>
    </x:row>
    <x:row r="163">
      <x:c r="B163" s="8"/>
      <x:c r="E163" s="8"/>
      <x:c r="H163" s="8"/>
      <x:c r="I163" s="8"/>
      <x:c r="J163" s="8"/>
      <x:c r="K163" s="8"/>
      <x:c r="L163" s="8"/>
      <x:c r="Q163" s="9"/>
      <x:c r="R163" s="8"/>
    </x:row>
    <x:row r="164">
      <x:c r="B164" s="8"/>
      <x:c r="E164" s="8"/>
      <x:c r="H164" s="8"/>
      <x:c r="I164" s="8"/>
      <x:c r="J164" s="8"/>
      <x:c r="K164" s="8"/>
      <x:c r="L164" s="8"/>
      <x:c r="Q164" s="9"/>
      <x:c r="R164" s="8"/>
    </x:row>
    <x:row r="165">
      <x:c r="B165" s="8"/>
      <x:c r="E165" s="8"/>
      <x:c r="H165" s="8"/>
      <x:c r="I165" s="8"/>
      <x:c r="J165" s="8"/>
      <x:c r="K165" s="8"/>
      <x:c r="L165" s="8"/>
      <x:c r="Q165" s="9"/>
      <x:c r="R165" s="8"/>
    </x:row>
    <x:row r="166">
      <x:c r="B166" s="8"/>
      <x:c r="E166" s="8"/>
      <x:c r="H166" s="8"/>
      <x:c r="I166" s="8"/>
      <x:c r="J166" s="8"/>
      <x:c r="K166" s="8"/>
      <x:c r="L166" s="8"/>
      <x:c r="Q166" s="9"/>
      <x:c r="R166" s="8"/>
    </x:row>
    <x:row r="167">
      <x:c r="B167" s="8"/>
      <x:c r="E167" s="8"/>
      <x:c r="H167" s="8"/>
      <x:c r="I167" s="8"/>
      <x:c r="J167" s="8"/>
      <x:c r="K167" s="8"/>
      <x:c r="L167" s="8"/>
      <x:c r="Q167" s="9"/>
      <x:c r="R167" s="8"/>
    </x:row>
    <x:row r="168">
      <x:c r="B168" s="8"/>
      <x:c r="E168" s="8"/>
      <x:c r="H168" s="8"/>
      <x:c r="I168" s="8"/>
      <x:c r="J168" s="8"/>
      <x:c r="K168" s="8"/>
      <x:c r="L168" s="8"/>
      <x:c r="Q168" s="9"/>
      <x:c r="R168" s="8"/>
    </x:row>
    <x:row r="169">
      <x:c r="B169" s="8"/>
      <x:c r="E169" s="8"/>
      <x:c r="H169" s="8"/>
      <x:c r="I169" s="8"/>
      <x:c r="J169" s="8"/>
      <x:c r="K169" s="8"/>
      <x:c r="L169" s="8"/>
      <x:c r="Q169" s="9"/>
      <x:c r="R169" s="8"/>
    </x:row>
    <x:row r="170">
      <x:c r="B170" s="8"/>
      <x:c r="E170" s="8"/>
      <x:c r="H170" s="8"/>
      <x:c r="I170" s="8"/>
      <x:c r="J170" s="8"/>
      <x:c r="K170" s="8"/>
      <x:c r="L170" s="8"/>
      <x:c r="Q170" s="9"/>
      <x:c r="R170" s="8"/>
    </x:row>
    <x:row r="171">
      <x:c r="B171" s="8"/>
      <x:c r="E171" s="8"/>
      <x:c r="H171" s="8"/>
      <x:c r="I171" s="8"/>
      <x:c r="J171" s="8"/>
      <x:c r="K171" s="8"/>
      <x:c r="L171" s="8"/>
      <x:c r="Q171" s="9"/>
      <x:c r="R171" s="8"/>
    </x:row>
    <x:row r="172">
      <x:c r="B172" s="8"/>
      <x:c r="E172" s="8"/>
      <x:c r="H172" s="8"/>
      <x:c r="I172" s="8"/>
      <x:c r="J172" s="8"/>
      <x:c r="K172" s="8"/>
      <x:c r="L172" s="8"/>
      <x:c r="Q172" s="9"/>
      <x:c r="R172" s="8"/>
    </x:row>
    <x:row r="173">
      <x:c r="B173" s="8"/>
      <x:c r="E173" s="8"/>
      <x:c r="H173" s="8"/>
      <x:c r="I173" s="8"/>
      <x:c r="J173" s="8"/>
      <x:c r="K173" s="8"/>
      <x:c r="L173" s="8"/>
      <x:c r="Q173" s="9"/>
      <x:c r="R173" s="8"/>
    </x:row>
    <x:row r="174">
      <x:c r="B174" s="8"/>
      <x:c r="E174" s="8"/>
      <x:c r="H174" s="8"/>
      <x:c r="I174" s="8"/>
      <x:c r="J174" s="8"/>
      <x:c r="K174" s="8"/>
      <x:c r="L174" s="8"/>
      <x:c r="Q174" s="9"/>
      <x:c r="R174" s="8"/>
    </x:row>
    <x:row r="175">
      <x:c r="B175" s="8"/>
      <x:c r="E175" s="8"/>
      <x:c r="H175" s="8"/>
      <x:c r="I175" s="8"/>
      <x:c r="J175" s="8"/>
      <x:c r="K175" s="8"/>
      <x:c r="L175" s="8"/>
      <x:c r="Q175" s="9"/>
      <x:c r="R175" s="8"/>
    </x:row>
    <x:row r="176">
      <x:c r="B176" s="8"/>
      <x:c r="E176" s="8"/>
      <x:c r="H176" s="8"/>
      <x:c r="I176" s="8"/>
      <x:c r="J176" s="8"/>
      <x:c r="K176" s="8"/>
      <x:c r="L176" s="8"/>
      <x:c r="Q176" s="9"/>
      <x:c r="R176" s="8"/>
    </x:row>
    <x:row r="177">
      <x:c r="B177" s="8"/>
      <x:c r="E177" s="8"/>
      <x:c r="H177" s="8"/>
      <x:c r="I177" s="8"/>
      <x:c r="J177" s="8"/>
      <x:c r="K177" s="8"/>
      <x:c r="L177" s="8"/>
      <x:c r="Q177" s="9"/>
      <x:c r="R177" s="8"/>
    </x:row>
    <x:row r="178">
      <x:c r="B178" s="8"/>
      <x:c r="E178" s="8"/>
      <x:c r="H178" s="8"/>
      <x:c r="I178" s="8"/>
      <x:c r="J178" s="8"/>
      <x:c r="K178" s="8"/>
      <x:c r="L178" s="8"/>
      <x:c r="Q178" s="9"/>
      <x:c r="R178" s="8"/>
    </x:row>
    <x:row r="179">
      <x:c r="B179" s="8"/>
      <x:c r="E179" s="8"/>
      <x:c r="H179" s="8"/>
      <x:c r="I179" s="8"/>
      <x:c r="J179" s="8"/>
      <x:c r="K179" s="8"/>
      <x:c r="L179" s="8"/>
      <x:c r="Q179" s="9"/>
      <x:c r="R179" s="8"/>
    </x:row>
    <x:row r="180">
      <x:c r="B180" s="8"/>
      <x:c r="E180" s="8"/>
      <x:c r="H180" s="8"/>
      <x:c r="I180" s="8"/>
      <x:c r="J180" s="8"/>
      <x:c r="K180" s="8"/>
      <x:c r="L180" s="8"/>
      <x:c r="Q180" s="9"/>
      <x:c r="R180" s="8"/>
    </x:row>
    <x:row r="181">
      <x:c r="B181" s="8"/>
      <x:c r="E181" s="8"/>
      <x:c r="H181" s="8"/>
      <x:c r="I181" s="8"/>
      <x:c r="J181" s="8"/>
      <x:c r="K181" s="8"/>
      <x:c r="L181" s="8"/>
      <x:c r="Q181" s="9"/>
      <x:c r="R181" s="8"/>
    </x:row>
    <x:row r="182">
      <x:c r="B182" s="8"/>
      <x:c r="E182" s="8"/>
      <x:c r="H182" s="8"/>
      <x:c r="I182" s="8"/>
      <x:c r="J182" s="8"/>
      <x:c r="K182" s="8"/>
      <x:c r="L182" s="8"/>
      <x:c r="Q182" s="9"/>
      <x:c r="R182" s="8"/>
    </x:row>
    <x:row r="183">
      <x:c r="B183" s="8"/>
      <x:c r="E183" s="8"/>
      <x:c r="H183" s="8"/>
      <x:c r="I183" s="8"/>
      <x:c r="J183" s="8"/>
      <x:c r="K183" s="8"/>
      <x:c r="L183" s="8"/>
      <x:c r="Q183" s="9"/>
      <x:c r="R183" s="8"/>
    </x:row>
    <x:row r="184">
      <x:c r="B184" s="8"/>
      <x:c r="E184" s="8"/>
      <x:c r="H184" s="8"/>
      <x:c r="I184" s="8"/>
      <x:c r="J184" s="8"/>
      <x:c r="K184" s="8"/>
      <x:c r="L184" s="8"/>
      <x:c r="Q184" s="9"/>
      <x:c r="R184" s="8"/>
    </x:row>
    <x:row r="185">
      <x:c r="B185" s="8"/>
      <x:c r="E185" s="8"/>
      <x:c r="H185" s="8"/>
      <x:c r="I185" s="8"/>
      <x:c r="J185" s="8"/>
      <x:c r="K185" s="8"/>
      <x:c r="L185" s="8"/>
      <x:c r="Q185" s="9"/>
      <x:c r="R185" s="8"/>
    </x:row>
    <x:row r="186">
      <x:c r="B186" s="8"/>
      <x:c r="E186" s="8"/>
      <x:c r="H186" s="8"/>
      <x:c r="I186" s="8"/>
      <x:c r="J186" s="8"/>
      <x:c r="K186" s="8"/>
      <x:c r="L186" s="8"/>
      <x:c r="Q186" s="9"/>
      <x:c r="R186" s="8"/>
    </x:row>
    <x:row r="187">
      <x:c r="B187" s="8"/>
      <x:c r="E187" s="8"/>
      <x:c r="H187" s="8"/>
      <x:c r="I187" s="8"/>
      <x:c r="J187" s="8"/>
      <x:c r="K187" s="8"/>
      <x:c r="L187" s="8"/>
      <x:c r="Q187" s="9"/>
      <x:c r="R187" s="8"/>
    </x:row>
    <x:row r="188">
      <x:c r="B188" s="8"/>
      <x:c r="E188" s="8"/>
      <x:c r="H188" s="8"/>
      <x:c r="I188" s="8"/>
      <x:c r="J188" s="8"/>
      <x:c r="K188" s="8"/>
      <x:c r="L188" s="8"/>
      <x:c r="Q188" s="9"/>
      <x:c r="R188" s="8"/>
    </x:row>
    <x:row r="189">
      <x:c r="B189" s="8"/>
      <x:c r="E189" s="8"/>
      <x:c r="H189" s="8"/>
      <x:c r="I189" s="8"/>
      <x:c r="J189" s="8"/>
      <x:c r="K189" s="8"/>
      <x:c r="L189" s="8"/>
      <x:c r="Q189" s="9"/>
      <x:c r="R189" s="8"/>
    </x:row>
    <x:row r="190">
      <x:c r="B190" s="8"/>
      <x:c r="E190" s="8"/>
      <x:c r="H190" s="8"/>
      <x:c r="I190" s="8"/>
      <x:c r="J190" s="8"/>
      <x:c r="K190" s="8"/>
      <x:c r="L190" s="8"/>
      <x:c r="Q190" s="9"/>
      <x:c r="R190" s="8"/>
    </x:row>
    <x:row r="191">
      <x:c r="B191" s="8"/>
      <x:c r="E191" s="8"/>
      <x:c r="H191" s="8"/>
      <x:c r="I191" s="8"/>
      <x:c r="J191" s="8"/>
      <x:c r="K191" s="8"/>
      <x:c r="L191" s="8"/>
      <x:c r="Q191" s="9"/>
      <x:c r="R191" s="8"/>
    </x:row>
    <x:row r="192">
      <x:c r="B192" s="8"/>
      <x:c r="E192" s="8"/>
      <x:c r="H192" s="8"/>
      <x:c r="I192" s="8"/>
      <x:c r="J192" s="8"/>
      <x:c r="K192" s="8"/>
      <x:c r="L192" s="8"/>
      <x:c r="Q192" s="9"/>
      <x:c r="R192" s="8"/>
    </x:row>
    <x:row r="193">
      <x:c r="B193" s="8"/>
      <x:c r="E193" s="8"/>
      <x:c r="H193" s="8"/>
      <x:c r="I193" s="8"/>
      <x:c r="J193" s="8"/>
      <x:c r="K193" s="8"/>
      <x:c r="L193" s="8"/>
      <x:c r="Q193" s="9"/>
      <x:c r="R193" s="8"/>
    </x:row>
    <x:row r="194">
      <x:c r="B194" s="8"/>
      <x:c r="E194" s="8"/>
      <x:c r="H194" s="8"/>
      <x:c r="I194" s="8"/>
      <x:c r="J194" s="8"/>
      <x:c r="K194" s="8"/>
      <x:c r="L194" s="8"/>
      <x:c r="Q194" s="9"/>
      <x:c r="R194" s="8"/>
    </x:row>
    <x:row r="195">
      <x:c r="B195" s="8"/>
      <x:c r="E195" s="8"/>
      <x:c r="H195" s="8"/>
      <x:c r="I195" s="8"/>
      <x:c r="J195" s="8"/>
      <x:c r="K195" s="8"/>
      <x:c r="L195" s="8"/>
      <x:c r="Q195" s="9"/>
      <x:c r="R195" s="8"/>
    </x:row>
    <x:row r="196">
      <x:c r="B196" s="8"/>
      <x:c r="E196" s="8"/>
      <x:c r="H196" s="8"/>
      <x:c r="I196" s="8"/>
      <x:c r="J196" s="8"/>
      <x:c r="K196" s="8"/>
      <x:c r="L196" s="8"/>
      <x:c r="Q196" s="9"/>
      <x:c r="R196" s="8"/>
    </x:row>
    <x:row r="197">
      <x:c r="B197" s="8"/>
      <x:c r="E197" s="8"/>
      <x:c r="H197" s="8"/>
      <x:c r="I197" s="8"/>
      <x:c r="J197" s="8"/>
      <x:c r="K197" s="8"/>
      <x:c r="L197" s="8"/>
      <x:c r="Q197" s="9"/>
      <x:c r="R197" s="8"/>
    </x:row>
    <x:row r="198">
      <x:c r="B198" s="8"/>
      <x:c r="E198" s="8"/>
      <x:c r="H198" s="8"/>
      <x:c r="I198" s="8"/>
      <x:c r="J198" s="8"/>
      <x:c r="K198" s="8"/>
      <x:c r="L198" s="8"/>
      <x:c r="Q198" s="9"/>
      <x:c r="R198" s="8"/>
    </x:row>
    <x:row r="199">
      <x:c r="B199" s="8"/>
      <x:c r="E199" s="8"/>
      <x:c r="H199" s="8"/>
      <x:c r="I199" s="8"/>
      <x:c r="J199" s="8"/>
      <x:c r="K199" s="8"/>
      <x:c r="L199" s="8"/>
      <x:c r="Q199" s="9"/>
      <x:c r="R199" s="8"/>
    </x:row>
    <x:row r="200">
      <x:c r="B200" s="8"/>
      <x:c r="E200" s="8"/>
      <x:c r="H200" s="8"/>
      <x:c r="I200" s="8"/>
      <x:c r="J200" s="8"/>
      <x:c r="K200" s="8"/>
      <x:c r="L200" s="8"/>
      <x:c r="Q200" s="9"/>
      <x:c r="R200" s="8"/>
    </x:row>
    <x:row r="201">
      <x:c r="B201" s="8"/>
      <x:c r="E201" s="8"/>
      <x:c r="H201" s="8"/>
      <x:c r="I201" s="8"/>
      <x:c r="J201" s="8"/>
      <x:c r="K201" s="8"/>
      <x:c r="L201" s="8"/>
      <x:c r="Q201" s="9"/>
      <x:c r="R201" s="8"/>
    </x:row>
    <x:row r="202">
      <x:c r="B202" s="8"/>
      <x:c r="E202" s="8"/>
      <x:c r="H202" s="8"/>
      <x:c r="I202" s="8"/>
      <x:c r="J202" s="8"/>
      <x:c r="K202" s="8"/>
      <x:c r="L202" s="8"/>
      <x:c r="Q202" s="9"/>
      <x:c r="R202" s="8"/>
    </x:row>
    <x:row r="203">
      <x:c r="B203" s="8"/>
      <x:c r="E203" s="8"/>
      <x:c r="H203" s="8"/>
      <x:c r="I203" s="8"/>
      <x:c r="J203" s="8"/>
      <x:c r="K203" s="8"/>
      <x:c r="L203" s="8"/>
      <x:c r="Q203" s="9"/>
      <x:c r="R203" s="8"/>
    </x:row>
    <x:row r="204">
      <x:c r="B204" s="8"/>
      <x:c r="E204" s="8"/>
      <x:c r="H204" s="8"/>
      <x:c r="I204" s="8"/>
      <x:c r="J204" s="8"/>
      <x:c r="K204" s="8"/>
      <x:c r="L204" s="8"/>
      <x:c r="Q204" s="9"/>
      <x:c r="R204" s="8"/>
    </x:row>
    <x:row r="205">
      <x:c r="B205" s="8"/>
      <x:c r="E205" s="8"/>
      <x:c r="H205" s="8"/>
      <x:c r="I205" s="8"/>
      <x:c r="J205" s="8"/>
      <x:c r="K205" s="8"/>
      <x:c r="L205" s="8"/>
      <x:c r="Q205" s="9"/>
      <x:c r="R205" s="8"/>
    </x:row>
    <x:row r="206">
      <x:c r="B206" s="8"/>
      <x:c r="E206" s="8"/>
      <x:c r="H206" s="8"/>
      <x:c r="I206" s="8"/>
      <x:c r="J206" s="8"/>
      <x:c r="K206" s="8"/>
      <x:c r="L206" s="8"/>
      <x:c r="Q206" s="9"/>
      <x:c r="R206" s="8"/>
    </x:row>
    <x:row r="207">
      <x:c r="B207" s="8"/>
      <x:c r="E207" s="8"/>
      <x:c r="H207" s="8"/>
      <x:c r="I207" s="8"/>
      <x:c r="J207" s="8"/>
      <x:c r="K207" s="8"/>
      <x:c r="L207" s="8"/>
      <x:c r="Q207" s="9"/>
      <x:c r="R207" s="8"/>
    </x:row>
    <x:row r="208">
      <x:c r="B208" s="8"/>
      <x:c r="E208" s="8"/>
      <x:c r="H208" s="8"/>
      <x:c r="I208" s="8"/>
      <x:c r="J208" s="8"/>
      <x:c r="K208" s="8"/>
      <x:c r="L208" s="8"/>
      <x:c r="Q208" s="9"/>
      <x:c r="R208" s="8"/>
    </x:row>
    <x:row r="209">
      <x:c r="B209" s="8"/>
      <x:c r="E209" s="8"/>
      <x:c r="H209" s="8"/>
      <x:c r="I209" s="8"/>
      <x:c r="J209" s="8"/>
      <x:c r="K209" s="8"/>
      <x:c r="L209" s="8"/>
      <x:c r="Q209" s="9"/>
      <x:c r="R209" s="8"/>
    </x:row>
    <x:row r="210">
      <x:c r="B210" s="8"/>
      <x:c r="E210" s="8"/>
      <x:c r="H210" s="8"/>
      <x:c r="I210" s="8"/>
      <x:c r="J210" s="8"/>
      <x:c r="K210" s="8"/>
      <x:c r="L210" s="8"/>
      <x:c r="Q210" s="9"/>
      <x:c r="R210" s="8"/>
    </x:row>
    <x:row r="211">
      <x:c r="B211" s="8"/>
      <x:c r="E211" s="8"/>
      <x:c r="H211" s="8"/>
      <x:c r="I211" s="8"/>
      <x:c r="J211" s="8"/>
      <x:c r="K211" s="8"/>
      <x:c r="L211" s="8"/>
      <x:c r="Q211" s="9"/>
      <x:c r="R211" s="8"/>
    </x:row>
    <x:row r="212">
      <x:c r="B212" s="8"/>
      <x:c r="E212" s="8"/>
      <x:c r="H212" s="8"/>
      <x:c r="I212" s="8"/>
      <x:c r="J212" s="8"/>
      <x:c r="K212" s="8"/>
      <x:c r="L212" s="8"/>
      <x:c r="Q212" s="9"/>
      <x:c r="R212" s="8"/>
    </x:row>
    <x:row r="213">
      <x:c r="B213" s="8"/>
      <x:c r="E213" s="8"/>
      <x:c r="H213" s="8"/>
      <x:c r="I213" s="8"/>
      <x:c r="J213" s="8"/>
      <x:c r="K213" s="8"/>
      <x:c r="L213" s="8"/>
      <x:c r="Q213" s="9"/>
      <x:c r="R213" s="8"/>
    </x:row>
    <x:row r="214">
      <x:c r="B214" s="8"/>
      <x:c r="E214" s="8"/>
      <x:c r="H214" s="8"/>
      <x:c r="I214" s="8"/>
      <x:c r="J214" s="8"/>
      <x:c r="K214" s="8"/>
      <x:c r="L214" s="8"/>
      <x:c r="Q214" s="9"/>
      <x:c r="R214" s="8"/>
    </x:row>
    <x:row r="215">
      <x:c r="B215" s="8"/>
      <x:c r="E215" s="8"/>
      <x:c r="H215" s="8"/>
      <x:c r="I215" s="8"/>
      <x:c r="J215" s="8"/>
      <x:c r="K215" s="8"/>
      <x:c r="L215" s="8"/>
      <x:c r="Q215" s="9"/>
      <x:c r="R215" s="8"/>
    </x:row>
    <x:row r="216">
      <x:c r="B216" s="8"/>
      <x:c r="E216" s="8"/>
      <x:c r="H216" s="8"/>
      <x:c r="I216" s="8"/>
      <x:c r="J216" s="8"/>
      <x:c r="K216" s="8"/>
      <x:c r="L216" s="8"/>
      <x:c r="Q216" s="9"/>
      <x:c r="R216" s="8"/>
    </x:row>
    <x:row r="217">
      <x:c r="B217" s="8"/>
      <x:c r="E217" s="8"/>
      <x:c r="H217" s="8"/>
      <x:c r="I217" s="8"/>
      <x:c r="J217" s="8"/>
      <x:c r="K217" s="8"/>
      <x:c r="L217" s="8"/>
      <x:c r="Q217" s="9"/>
      <x:c r="R217" s="8"/>
    </x:row>
    <x:row r="218">
      <x:c r="B218" s="8"/>
      <x:c r="E218" s="8"/>
      <x:c r="H218" s="8"/>
      <x:c r="I218" s="8"/>
      <x:c r="J218" s="8"/>
      <x:c r="K218" s="8"/>
      <x:c r="L218" s="8"/>
      <x:c r="Q218" s="9"/>
      <x:c r="R218" s="8"/>
    </x:row>
    <x:row r="219">
      <x:c r="B219" s="8"/>
      <x:c r="E219" s="8"/>
      <x:c r="H219" s="8"/>
      <x:c r="I219" s="8"/>
      <x:c r="J219" s="8"/>
      <x:c r="K219" s="8"/>
      <x:c r="L219" s="8"/>
      <x:c r="Q219" s="9"/>
      <x:c r="R219" s="8"/>
    </x:row>
    <x:row r="220">
      <x:c r="B220" s="8"/>
      <x:c r="E220" s="8"/>
      <x:c r="H220" s="8"/>
      <x:c r="I220" s="8"/>
      <x:c r="J220" s="8"/>
      <x:c r="K220" s="8"/>
      <x:c r="L220" s="8"/>
      <x:c r="Q220" s="9"/>
      <x:c r="R220" s="8"/>
    </x:row>
    <x:row r="221">
      <x:c r="B221" s="8"/>
      <x:c r="E221" s="8"/>
      <x:c r="H221" s="8"/>
      <x:c r="I221" s="8"/>
      <x:c r="J221" s="8"/>
      <x:c r="K221" s="8"/>
      <x:c r="L221" s="8"/>
      <x:c r="Q221" s="9"/>
      <x:c r="R221" s="8"/>
    </x:row>
    <x:row r="222">
      <x:c r="B222" s="8"/>
      <x:c r="E222" s="8"/>
      <x:c r="H222" s="8"/>
      <x:c r="I222" s="8"/>
      <x:c r="J222" s="8"/>
      <x:c r="K222" s="8"/>
      <x:c r="L222" s="8"/>
      <x:c r="Q222" s="9"/>
      <x:c r="R222" s="8"/>
    </x:row>
    <x:row r="223">
      <x:c r="B223" s="8"/>
      <x:c r="E223" s="8"/>
      <x:c r="H223" s="8"/>
      <x:c r="I223" s="8"/>
      <x:c r="J223" s="8"/>
      <x:c r="K223" s="8"/>
      <x:c r="L223" s="8"/>
      <x:c r="Q223" s="9"/>
      <x:c r="R223" s="8"/>
    </x:row>
    <x:row r="224">
      <x:c r="B224" s="8"/>
      <x:c r="E224" s="8"/>
      <x:c r="H224" s="8"/>
      <x:c r="I224" s="8"/>
      <x:c r="J224" s="8"/>
      <x:c r="K224" s="8"/>
      <x:c r="L224" s="8"/>
      <x:c r="Q224" s="9"/>
      <x:c r="R224" s="8"/>
    </x:row>
    <x:row r="225">
      <x:c r="B225" s="8"/>
      <x:c r="E225" s="8"/>
      <x:c r="H225" s="8"/>
      <x:c r="I225" s="8"/>
      <x:c r="J225" s="8"/>
      <x:c r="K225" s="8"/>
      <x:c r="L225" s="8"/>
      <x:c r="Q225" s="9"/>
      <x:c r="R225" s="8"/>
    </x:row>
    <x:row r="226">
      <x:c r="B226" s="8"/>
      <x:c r="E226" s="8"/>
      <x:c r="H226" s="8"/>
      <x:c r="I226" s="8"/>
      <x:c r="J226" s="8"/>
      <x:c r="K226" s="8"/>
      <x:c r="L226" s="8"/>
      <x:c r="Q226" s="9"/>
      <x:c r="R226" s="8"/>
    </x:row>
    <x:row r="227">
      <x:c r="B227" s="8"/>
      <x:c r="E227" s="8"/>
      <x:c r="H227" s="8"/>
      <x:c r="I227" s="8"/>
      <x:c r="J227" s="8"/>
      <x:c r="K227" s="8"/>
      <x:c r="L227" s="8"/>
      <x:c r="Q227" s="9"/>
      <x:c r="R227" s="8"/>
    </x:row>
    <x:row r="228">
      <x:c r="B228" s="8"/>
      <x:c r="E228" s="8"/>
      <x:c r="H228" s="8"/>
      <x:c r="I228" s="8"/>
      <x:c r="J228" s="8"/>
      <x:c r="K228" s="8"/>
      <x:c r="L228" s="8"/>
      <x:c r="Q228" s="9"/>
      <x:c r="R228" s="8"/>
    </x:row>
    <x:row r="229">
      <x:c r="B229" s="8"/>
      <x:c r="E229" s="8"/>
      <x:c r="H229" s="8"/>
      <x:c r="I229" s="8"/>
      <x:c r="J229" s="8"/>
      <x:c r="K229" s="8"/>
      <x:c r="L229" s="8"/>
      <x:c r="Q229" s="9"/>
      <x:c r="R229" s="8"/>
    </x:row>
    <x:row r="230">
      <x:c r="B230" s="8"/>
      <x:c r="E230" s="8"/>
      <x:c r="H230" s="8"/>
      <x:c r="I230" s="8"/>
      <x:c r="J230" s="8"/>
      <x:c r="K230" s="8"/>
      <x:c r="L230" s="8"/>
      <x:c r="Q230" s="9"/>
      <x:c r="R230" s="8"/>
    </x:row>
    <x:row r="231">
      <x:c r="B231" s="8"/>
      <x:c r="E231" s="8"/>
      <x:c r="H231" s="8"/>
      <x:c r="I231" s="8"/>
      <x:c r="J231" s="8"/>
      <x:c r="K231" s="8"/>
      <x:c r="L231" s="8"/>
      <x:c r="Q231" s="9"/>
      <x:c r="R231" s="8"/>
    </x:row>
    <x:row r="232">
      <x:c r="B232" s="8"/>
      <x:c r="E232" s="8"/>
      <x:c r="H232" s="8"/>
      <x:c r="I232" s="8"/>
      <x:c r="J232" s="8"/>
      <x:c r="K232" s="8"/>
      <x:c r="L232" s="8"/>
      <x:c r="Q232" s="9"/>
      <x:c r="R232" s="8"/>
    </x:row>
    <x:row r="233">
      <x:c r="B233" s="8"/>
      <x:c r="E233" s="8"/>
      <x:c r="H233" s="8"/>
      <x:c r="I233" s="8"/>
      <x:c r="J233" s="8"/>
      <x:c r="K233" s="8"/>
      <x:c r="L233" s="8"/>
      <x:c r="Q233" s="9"/>
      <x:c r="R233" s="8"/>
    </x:row>
    <x:row r="234">
      <x:c r="B234" s="8"/>
      <x:c r="E234" s="8"/>
      <x:c r="H234" s="8"/>
      <x:c r="I234" s="8"/>
      <x:c r="J234" s="8"/>
      <x:c r="K234" s="8"/>
      <x:c r="L234" s="8"/>
      <x:c r="Q234" s="9"/>
      <x:c r="R234" s="8"/>
    </x:row>
    <x:row r="235">
      <x:c r="B235" s="8"/>
      <x:c r="E235" s="8"/>
      <x:c r="H235" s="8"/>
      <x:c r="I235" s="8"/>
      <x:c r="J235" s="8"/>
      <x:c r="K235" s="8"/>
      <x:c r="L235" s="8"/>
      <x:c r="Q235" s="9"/>
      <x:c r="R235" s="8"/>
    </x:row>
    <x:row r="236">
      <x:c r="B236" s="8"/>
      <x:c r="E236" s="8"/>
      <x:c r="H236" s="8"/>
      <x:c r="I236" s="8"/>
      <x:c r="J236" s="8"/>
      <x:c r="K236" s="8"/>
      <x:c r="L236" s="8"/>
      <x:c r="Q236" s="9"/>
      <x:c r="R236" s="8"/>
    </x:row>
    <x:row r="237">
      <x:c r="B237" s="8"/>
      <x:c r="E237" s="8"/>
      <x:c r="H237" s="8"/>
      <x:c r="I237" s="8"/>
      <x:c r="J237" s="8"/>
      <x:c r="K237" s="8"/>
      <x:c r="L237" s="8"/>
      <x:c r="Q237" s="9"/>
      <x:c r="R237" s="8"/>
    </x:row>
    <x:row r="238">
      <x:c r="B238" s="8"/>
      <x:c r="E238" s="8"/>
      <x:c r="H238" s="8"/>
      <x:c r="I238" s="8"/>
      <x:c r="J238" s="8"/>
      <x:c r="K238" s="8"/>
      <x:c r="L238" s="8"/>
      <x:c r="Q238" s="9"/>
      <x:c r="R238" s="8"/>
    </x:row>
    <x:row r="239">
      <x:c r="B239" s="8"/>
      <x:c r="E239" s="8"/>
      <x:c r="H239" s="8"/>
      <x:c r="I239" s="8"/>
      <x:c r="J239" s="8"/>
      <x:c r="K239" s="8"/>
      <x:c r="L239" s="8"/>
      <x:c r="Q239" s="9"/>
      <x:c r="R239" s="8"/>
    </x:row>
    <x:row r="240">
      <x:c r="B240" s="8"/>
      <x:c r="E240" s="8"/>
      <x:c r="H240" s="8"/>
      <x:c r="I240" s="8"/>
      <x:c r="J240" s="8"/>
      <x:c r="K240" s="8"/>
      <x:c r="L240" s="8"/>
      <x:c r="Q240" s="9"/>
      <x:c r="R240" s="8"/>
    </x:row>
    <x:row r="241">
      <x:c r="B241" s="8"/>
      <x:c r="E241" s="8"/>
      <x:c r="H241" s="8"/>
      <x:c r="I241" s="8"/>
      <x:c r="J241" s="8"/>
      <x:c r="K241" s="8"/>
      <x:c r="L241" s="8"/>
      <x:c r="Q241" s="9"/>
      <x:c r="R241" s="8"/>
    </x:row>
    <x:row r="242">
      <x:c r="B242" s="8"/>
      <x:c r="E242" s="8"/>
      <x:c r="H242" s="8"/>
      <x:c r="I242" s="8"/>
      <x:c r="J242" s="8"/>
      <x:c r="K242" s="8"/>
      <x:c r="L242" s="8"/>
      <x:c r="Q242" s="9"/>
      <x:c r="R242" s="8"/>
    </x:row>
    <x:row r="243">
      <x:c r="B243" s="8"/>
      <x:c r="E243" s="8"/>
      <x:c r="H243" s="8"/>
      <x:c r="I243" s="8"/>
      <x:c r="J243" s="8"/>
      <x:c r="K243" s="8"/>
      <x:c r="L243" s="8"/>
      <x:c r="Q243" s="9"/>
      <x:c r="R243" s="8"/>
    </x:row>
    <x:row r="244">
      <x:c r="B244" s="8"/>
      <x:c r="E244" s="8"/>
      <x:c r="H244" s="8"/>
      <x:c r="I244" s="8"/>
      <x:c r="J244" s="8"/>
      <x:c r="K244" s="8"/>
      <x:c r="L244" s="8"/>
      <x:c r="Q244" s="9"/>
      <x:c r="R244" s="8"/>
    </x:row>
    <x:row r="245">
      <x:c r="B245" s="8"/>
      <x:c r="E245" s="8"/>
      <x:c r="H245" s="8"/>
      <x:c r="I245" s="8"/>
      <x:c r="J245" s="8"/>
      <x:c r="K245" s="8"/>
      <x:c r="L245" s="8"/>
      <x:c r="Q245" s="9"/>
      <x:c r="R245" s="8"/>
    </x:row>
    <x:row r="246">
      <x:c r="B246" s="8"/>
      <x:c r="E246" s="8"/>
      <x:c r="H246" s="8"/>
      <x:c r="I246" s="8"/>
      <x:c r="J246" s="8"/>
      <x:c r="K246" s="8"/>
      <x:c r="L246" s="8"/>
      <x:c r="Q246" s="9"/>
      <x:c r="R246" s="8"/>
    </x:row>
    <x:row r="247">
      <x:c r="B247" s="8"/>
      <x:c r="E247" s="8"/>
      <x:c r="H247" s="8"/>
      <x:c r="I247" s="8"/>
      <x:c r="J247" s="8"/>
      <x:c r="K247" s="8"/>
      <x:c r="L247" s="8"/>
      <x:c r="Q247" s="9"/>
      <x:c r="R247" s="8"/>
    </x:row>
    <x:row r="248">
      <x:c r="B248" s="8"/>
      <x:c r="E248" s="8"/>
      <x:c r="H248" s="8"/>
      <x:c r="I248" s="8"/>
      <x:c r="J248" s="8"/>
      <x:c r="K248" s="8"/>
      <x:c r="L248" s="8"/>
      <x:c r="Q248" s="9"/>
      <x:c r="R248" s="8"/>
    </x:row>
    <x:row r="249">
      <x:c r="B249" s="8"/>
      <x:c r="E249" s="8"/>
      <x:c r="H249" s="8"/>
      <x:c r="I249" s="8"/>
      <x:c r="J249" s="8"/>
      <x:c r="K249" s="8"/>
      <x:c r="L249" s="8"/>
      <x:c r="Q249" s="9"/>
      <x:c r="R249" s="8"/>
    </x:row>
    <x:row r="250">
      <x:c r="B250" s="8"/>
      <x:c r="E250" s="8"/>
      <x:c r="H250" s="8"/>
      <x:c r="I250" s="8"/>
      <x:c r="J250" s="8"/>
      <x:c r="K250" s="8"/>
      <x:c r="L250" s="8"/>
      <x:c r="Q250" s="9"/>
      <x:c r="R250" s="8"/>
    </x:row>
    <x:row r="251">
      <x:c r="B251" s="8"/>
      <x:c r="E251" s="8"/>
      <x:c r="H251" s="8"/>
      <x:c r="I251" s="8"/>
      <x:c r="J251" s="8"/>
      <x:c r="K251" s="8"/>
      <x:c r="L251" s="8"/>
      <x:c r="Q251" s="9"/>
      <x:c r="R251" s="8"/>
    </x:row>
    <x:row r="252">
      <x:c r="B252" s="8"/>
      <x:c r="E252" s="8"/>
      <x:c r="H252" s="8"/>
      <x:c r="I252" s="8"/>
      <x:c r="J252" s="8"/>
      <x:c r="K252" s="8"/>
      <x:c r="L252" s="8"/>
      <x:c r="Q252" s="9"/>
      <x:c r="R252" s="8"/>
    </x:row>
    <x:row r="253">
      <x:c r="B253" s="8"/>
      <x:c r="E253" s="8"/>
      <x:c r="H253" s="8"/>
      <x:c r="I253" s="8"/>
      <x:c r="J253" s="8"/>
      <x:c r="K253" s="8"/>
      <x:c r="L253" s="8"/>
      <x:c r="Q253" s="9"/>
      <x:c r="R253" s="8"/>
    </x:row>
    <x:row r="254">
      <x:c r="B254" s="8"/>
      <x:c r="E254" s="8"/>
      <x:c r="H254" s="8"/>
      <x:c r="I254" s="8"/>
      <x:c r="J254" s="8"/>
      <x:c r="K254" s="8"/>
      <x:c r="L254" s="8"/>
      <x:c r="Q254" s="9"/>
      <x:c r="R254" s="8"/>
    </x:row>
    <x:row r="255">
      <x:c r="B255" s="8"/>
      <x:c r="E255" s="8"/>
      <x:c r="H255" s="8"/>
      <x:c r="I255" s="8"/>
      <x:c r="J255" s="8"/>
      <x:c r="K255" s="8"/>
      <x:c r="L255" s="8"/>
      <x:c r="Q255" s="9"/>
      <x:c r="R255" s="8"/>
    </x:row>
    <x:row r="256">
      <x:c r="B256" s="8"/>
      <x:c r="E256" s="8"/>
      <x:c r="H256" s="8"/>
      <x:c r="I256" s="8"/>
      <x:c r="J256" s="8"/>
      <x:c r="K256" s="8"/>
      <x:c r="L256" s="8"/>
      <x:c r="Q256" s="9"/>
      <x:c r="R256" s="8"/>
    </x:row>
    <x:row r="257">
      <x:c r="B257" s="8"/>
      <x:c r="E257" s="8"/>
      <x:c r="H257" s="8"/>
      <x:c r="I257" s="8"/>
      <x:c r="J257" s="8"/>
      <x:c r="K257" s="8"/>
      <x:c r="L257" s="8"/>
      <x:c r="Q257" s="9"/>
      <x:c r="R257" s="8"/>
    </x:row>
    <x:row r="258">
      <x:c r="B258" s="8"/>
      <x:c r="E258" s="8"/>
      <x:c r="H258" s="8"/>
      <x:c r="I258" s="8"/>
      <x:c r="J258" s="8"/>
      <x:c r="K258" s="8"/>
      <x:c r="L258" s="8"/>
      <x:c r="Q258" s="9"/>
      <x:c r="R258" s="8"/>
    </x:row>
    <x:row r="259">
      <x:c r="B259" s="8"/>
      <x:c r="E259" s="8"/>
      <x:c r="H259" s="8"/>
      <x:c r="I259" s="8"/>
      <x:c r="J259" s="8"/>
      <x:c r="K259" s="8"/>
      <x:c r="L259" s="8"/>
      <x:c r="Q259" s="9"/>
      <x:c r="R259" s="8"/>
    </x:row>
    <x:row r="260">
      <x:c r="B260" s="8"/>
      <x:c r="E260" s="8"/>
      <x:c r="H260" s="8"/>
      <x:c r="I260" s="8"/>
      <x:c r="J260" s="8"/>
      <x:c r="K260" s="8"/>
      <x:c r="L260" s="8"/>
      <x:c r="Q260" s="9"/>
      <x:c r="R260" s="8"/>
    </x:row>
    <x:row r="261">
      <x:c r="B261" s="8"/>
      <x:c r="E261" s="8"/>
      <x:c r="H261" s="8"/>
      <x:c r="I261" s="8"/>
      <x:c r="J261" s="8"/>
      <x:c r="K261" s="8"/>
      <x:c r="L261" s="8"/>
      <x:c r="Q261" s="9"/>
      <x:c r="R261" s="8"/>
    </x:row>
    <x:row r="262">
      <x:c r="B262" s="8"/>
      <x:c r="E262" s="8"/>
      <x:c r="H262" s="8"/>
      <x:c r="I262" s="8"/>
      <x:c r="J262" s="8"/>
      <x:c r="K262" s="8"/>
      <x:c r="L262" s="8"/>
      <x:c r="Q262" s="9"/>
      <x:c r="R262" s="8"/>
    </x:row>
    <x:row r="263">
      <x:c r="B263" s="8"/>
      <x:c r="E263" s="8"/>
      <x:c r="H263" s="8"/>
      <x:c r="I263" s="8"/>
      <x:c r="J263" s="8"/>
      <x:c r="K263" s="8"/>
      <x:c r="L263" s="8"/>
      <x:c r="Q263" s="9"/>
      <x:c r="R263" s="8"/>
    </x:row>
    <x:row r="264">
      <x:c r="B264" s="8"/>
      <x:c r="E264" s="8"/>
      <x:c r="H264" s="8"/>
      <x:c r="I264" s="8"/>
      <x:c r="J264" s="8"/>
      <x:c r="K264" s="8"/>
      <x:c r="L264" s="8"/>
      <x:c r="Q264" s="9"/>
      <x:c r="R264" s="8"/>
    </x:row>
    <x:row r="265">
      <x:c r="B265" s="8"/>
      <x:c r="E265" s="8"/>
      <x:c r="H265" s="8"/>
      <x:c r="I265" s="8"/>
      <x:c r="J265" s="8"/>
      <x:c r="K265" s="8"/>
      <x:c r="L265" s="8"/>
      <x:c r="Q265" s="9"/>
      <x:c r="R265" s="8"/>
    </x:row>
    <x:row r="266">
      <x:c r="B266" s="8"/>
      <x:c r="E266" s="8"/>
      <x:c r="H266" s="8"/>
      <x:c r="I266" s="8"/>
      <x:c r="J266" s="8"/>
      <x:c r="K266" s="8"/>
      <x:c r="L266" s="8"/>
      <x:c r="Q266" s="9"/>
      <x:c r="R266" s="8"/>
    </x:row>
    <x:row r="267">
      <x:c r="B267" s="8"/>
      <x:c r="E267" s="8"/>
      <x:c r="H267" s="8"/>
      <x:c r="I267" s="8"/>
      <x:c r="J267" s="8"/>
      <x:c r="K267" s="8"/>
      <x:c r="L267" s="8"/>
      <x:c r="Q267" s="9"/>
      <x:c r="R267" s="8"/>
    </x:row>
    <x:row r="268">
      <x:c r="B268" s="8"/>
      <x:c r="E268" s="8"/>
      <x:c r="H268" s="8"/>
      <x:c r="I268" s="8"/>
      <x:c r="J268" s="8"/>
      <x:c r="K268" s="8"/>
      <x:c r="L268" s="8"/>
      <x:c r="Q268" s="9"/>
      <x:c r="R268" s="8"/>
    </x:row>
    <x:row r="269">
      <x:c r="B269" s="8"/>
      <x:c r="E269" s="8"/>
      <x:c r="H269" s="8"/>
      <x:c r="I269" s="8"/>
      <x:c r="J269" s="8"/>
      <x:c r="K269" s="8"/>
      <x:c r="L269" s="8"/>
      <x:c r="Q269" s="9"/>
      <x:c r="R269" s="8"/>
    </x:row>
    <x:row r="270">
      <x:c r="B270" s="8"/>
      <x:c r="E270" s="8"/>
      <x:c r="H270" s="8"/>
      <x:c r="I270" s="8"/>
      <x:c r="J270" s="8"/>
      <x:c r="K270" s="8"/>
      <x:c r="L270" s="8"/>
      <x:c r="Q270" s="9"/>
      <x:c r="R270" s="8"/>
    </x:row>
    <x:row r="271">
      <x:c r="B271" s="8"/>
      <x:c r="E271" s="8"/>
      <x:c r="H271" s="8"/>
      <x:c r="I271" s="8"/>
      <x:c r="J271" s="8"/>
      <x:c r="K271" s="8"/>
      <x:c r="L271" s="8"/>
      <x:c r="Q271" s="9"/>
      <x:c r="R271" s="8"/>
    </x:row>
    <x:row r="272">
      <x:c r="B272" s="8"/>
      <x:c r="E272" s="8"/>
      <x:c r="H272" s="8"/>
      <x:c r="I272" s="8"/>
      <x:c r="J272" s="8"/>
      <x:c r="K272" s="8"/>
      <x:c r="L272" s="8"/>
      <x:c r="Q272" s="9"/>
      <x:c r="R272" s="8"/>
    </x:row>
    <x:row r="273">
      <x:c r="B273" s="8"/>
      <x:c r="E273" s="8"/>
      <x:c r="H273" s="8"/>
      <x:c r="I273" s="8"/>
      <x:c r="J273" s="8"/>
      <x:c r="K273" s="8"/>
      <x:c r="L273" s="8"/>
      <x:c r="Q273" s="9"/>
      <x:c r="R273" s="8"/>
    </x:row>
    <x:row r="274">
      <x:c r="B274" s="8"/>
      <x:c r="E274" s="8"/>
      <x:c r="H274" s="8"/>
      <x:c r="I274" s="8"/>
      <x:c r="J274" s="8"/>
      <x:c r="K274" s="8"/>
      <x:c r="L274" s="8"/>
      <x:c r="Q274" s="9"/>
      <x:c r="R274" s="8"/>
    </x:row>
    <x:row r="275">
      <x:c r="B275" s="8"/>
      <x:c r="E275" s="8"/>
      <x:c r="H275" s="8"/>
      <x:c r="I275" s="8"/>
      <x:c r="J275" s="8"/>
      <x:c r="K275" s="8"/>
      <x:c r="L275" s="8"/>
      <x:c r="Q275" s="9"/>
      <x:c r="R275" s="8"/>
    </x:row>
    <x:row r="276">
      <x:c r="B276" s="8"/>
      <x:c r="E276" s="8"/>
      <x:c r="H276" s="8"/>
      <x:c r="I276" s="8"/>
      <x:c r="J276" s="8"/>
      <x:c r="K276" s="8"/>
      <x:c r="L276" s="8"/>
      <x:c r="Q276" s="9"/>
      <x:c r="R276" s="8"/>
    </x:row>
    <x:row r="277">
      <x:c r="B277" s="8"/>
      <x:c r="E277" s="8"/>
      <x:c r="H277" s="8"/>
      <x:c r="I277" s="8"/>
      <x:c r="J277" s="8"/>
      <x:c r="K277" s="8"/>
      <x:c r="L277" s="8"/>
      <x:c r="Q277" s="9"/>
      <x:c r="R277" s="8"/>
    </x:row>
    <x:row r="278">
      <x:c r="B278" s="8"/>
      <x:c r="E278" s="8"/>
      <x:c r="H278" s="8"/>
      <x:c r="I278" s="8"/>
      <x:c r="J278" s="8"/>
      <x:c r="K278" s="8"/>
      <x:c r="L278" s="8"/>
      <x:c r="Q278" s="9"/>
      <x:c r="R278" s="8"/>
    </x:row>
    <x:row r="279">
      <x:c r="B279" s="8"/>
      <x:c r="E279" s="8"/>
      <x:c r="H279" s="8"/>
      <x:c r="I279" s="8"/>
      <x:c r="J279" s="8"/>
      <x:c r="K279" s="8"/>
      <x:c r="L279" s="8"/>
      <x:c r="Q279" s="9"/>
      <x:c r="R279" s="8"/>
    </x:row>
    <x:row r="280">
      <x:c r="B280" s="8"/>
      <x:c r="E280" s="8"/>
      <x:c r="H280" s="8"/>
      <x:c r="I280" s="8"/>
      <x:c r="J280" s="8"/>
      <x:c r="K280" s="8"/>
      <x:c r="L280" s="8"/>
      <x:c r="Q280" s="9"/>
      <x:c r="R280" s="8"/>
    </x:row>
    <x:row r="281">
      <x:c r="B281" s="8"/>
      <x:c r="E281" s="8"/>
      <x:c r="H281" s="8"/>
      <x:c r="I281" s="8"/>
      <x:c r="J281" s="8"/>
      <x:c r="K281" s="8"/>
      <x:c r="L281" s="8"/>
      <x:c r="Q281" s="9"/>
      <x:c r="R281" s="8"/>
    </x:row>
    <x:row r="282">
      <x:c r="B282" s="8"/>
      <x:c r="E282" s="8"/>
      <x:c r="H282" s="8"/>
      <x:c r="I282" s="8"/>
      <x:c r="J282" s="8"/>
      <x:c r="K282" s="8"/>
      <x:c r="L282" s="8"/>
      <x:c r="Q282" s="9"/>
      <x:c r="R282" s="8"/>
    </x:row>
    <x:row r="283">
      <x:c r="B283" s="8"/>
      <x:c r="E283" s="8"/>
      <x:c r="H283" s="8"/>
      <x:c r="I283" s="8"/>
      <x:c r="J283" s="8"/>
      <x:c r="K283" s="8"/>
      <x:c r="L283" s="8"/>
      <x:c r="Q283" s="9"/>
      <x:c r="R283" s="8"/>
    </x:row>
    <x:row r="284">
      <x:c r="B284" s="8"/>
      <x:c r="E284" s="8"/>
      <x:c r="H284" s="8"/>
      <x:c r="I284" s="8"/>
      <x:c r="J284" s="8"/>
      <x:c r="K284" s="8"/>
      <x:c r="L284" s="8"/>
      <x:c r="Q284" s="9"/>
      <x:c r="R284" s="8"/>
    </x:row>
    <x:row r="285">
      <x:c r="B285" s="8"/>
      <x:c r="E285" s="8"/>
      <x:c r="H285" s="8"/>
      <x:c r="I285" s="8"/>
      <x:c r="J285" s="8"/>
      <x:c r="K285" s="8"/>
      <x:c r="L285" s="8"/>
      <x:c r="Q285" s="9"/>
      <x:c r="R285" s="8"/>
    </x:row>
    <x:row r="286">
      <x:c r="B286" s="8"/>
      <x:c r="E286" s="8"/>
      <x:c r="H286" s="8"/>
      <x:c r="I286" s="8"/>
      <x:c r="J286" s="8"/>
      <x:c r="K286" s="8"/>
      <x:c r="L286" s="8"/>
      <x:c r="Q286" s="9"/>
      <x:c r="R286" s="8"/>
    </x:row>
    <x:row r="287">
      <x:c r="B287" s="8"/>
      <x:c r="E287" s="8"/>
      <x:c r="H287" s="8"/>
      <x:c r="I287" s="8"/>
      <x:c r="J287" s="8"/>
      <x:c r="K287" s="8"/>
      <x:c r="L287" s="8"/>
      <x:c r="Q287" s="9"/>
      <x:c r="R287" s="8"/>
    </x:row>
    <x:row r="288">
      <x:c r="B288" s="8"/>
      <x:c r="E288" s="8"/>
      <x:c r="H288" s="8"/>
      <x:c r="I288" s="8"/>
      <x:c r="J288" s="8"/>
      <x:c r="K288" s="8"/>
      <x:c r="L288" s="8"/>
      <x:c r="Q288" s="9"/>
      <x:c r="R288" s="8"/>
    </x:row>
    <x:row r="289">
      <x:c r="B289" s="8"/>
      <x:c r="E289" s="8"/>
      <x:c r="H289" s="8"/>
      <x:c r="I289" s="8"/>
      <x:c r="J289" s="8"/>
      <x:c r="K289" s="8"/>
      <x:c r="L289" s="8"/>
      <x:c r="Q289" s="9"/>
      <x:c r="R289" s="8"/>
    </x:row>
    <x:row r="290">
      <x:c r="B290" s="8"/>
      <x:c r="E290" s="8"/>
      <x:c r="H290" s="8"/>
      <x:c r="I290" s="8"/>
      <x:c r="J290" s="8"/>
      <x:c r="K290" s="8"/>
      <x:c r="L290" s="8"/>
      <x:c r="Q290" s="9"/>
      <x:c r="R290" s="8"/>
    </x:row>
    <x:row r="291">
      <x:c r="B291" s="8"/>
      <x:c r="E291" s="8"/>
      <x:c r="H291" s="8"/>
      <x:c r="I291" s="8"/>
      <x:c r="J291" s="8"/>
      <x:c r="K291" s="8"/>
      <x:c r="L291" s="8"/>
      <x:c r="Q291" s="9"/>
      <x:c r="R291" s="8"/>
    </x:row>
    <x:row r="292">
      <x:c r="B292" s="8"/>
      <x:c r="E292" s="8"/>
      <x:c r="H292" s="8"/>
      <x:c r="I292" s="8"/>
      <x:c r="J292" s="8"/>
      <x:c r="K292" s="8"/>
      <x:c r="L292" s="8"/>
      <x:c r="Q292" s="9"/>
      <x:c r="R292" s="8"/>
    </x:row>
    <x:row r="293">
      <x:c r="B293" s="8"/>
      <x:c r="E293" s="8"/>
      <x:c r="H293" s="8"/>
      <x:c r="I293" s="8"/>
      <x:c r="J293" s="8"/>
      <x:c r="K293" s="8"/>
      <x:c r="L293" s="8"/>
      <x:c r="Q293" s="9"/>
      <x:c r="R293" s="8"/>
    </x:row>
    <x:row r="294">
      <x:c r="B294" s="8"/>
      <x:c r="E294" s="8"/>
      <x:c r="H294" s="8"/>
      <x:c r="I294" s="8"/>
      <x:c r="J294" s="8"/>
      <x:c r="K294" s="8"/>
      <x:c r="L294" s="8"/>
      <x:c r="Q294" s="9"/>
      <x:c r="R294" s="8"/>
    </x:row>
    <x:row r="295">
      <x:c r="B295" s="8"/>
      <x:c r="E295" s="8"/>
      <x:c r="H295" s="8"/>
      <x:c r="I295" s="8"/>
      <x:c r="J295" s="8"/>
      <x:c r="K295" s="8"/>
      <x:c r="L295" s="8"/>
      <x:c r="Q295" s="9"/>
      <x:c r="R295" s="8"/>
    </x:row>
    <x:row r="296">
      <x:c r="B296" s="8"/>
      <x:c r="E296" s="8"/>
      <x:c r="H296" s="8"/>
      <x:c r="I296" s="8"/>
      <x:c r="J296" s="8"/>
      <x:c r="K296" s="8"/>
      <x:c r="L296" s="8"/>
      <x:c r="Q296" s="9"/>
      <x:c r="R296" s="8"/>
    </x:row>
    <x:row r="297">
      <x:c r="B297" s="8"/>
      <x:c r="E297" s="8"/>
      <x:c r="H297" s="8"/>
      <x:c r="I297" s="8"/>
      <x:c r="J297" s="8"/>
      <x:c r="K297" s="8"/>
      <x:c r="L297" s="8"/>
      <x:c r="Q297" s="9"/>
      <x:c r="R297" s="8"/>
    </x:row>
    <x:row r="298">
      <x:c r="B298" s="8"/>
      <x:c r="E298" s="8"/>
      <x:c r="H298" s="8"/>
      <x:c r="I298" s="8"/>
      <x:c r="J298" s="8"/>
      <x:c r="K298" s="8"/>
      <x:c r="L298" s="8"/>
      <x:c r="Q298" s="9"/>
      <x:c r="R298" s="8"/>
    </x:row>
    <x:row r="299">
      <x:c r="B299" s="8"/>
      <x:c r="E299" s="8"/>
      <x:c r="H299" s="8"/>
      <x:c r="I299" s="8"/>
      <x:c r="J299" s="8"/>
      <x:c r="K299" s="8"/>
      <x:c r="L299" s="8"/>
      <x:c r="Q299" s="9"/>
      <x:c r="R299" s="8"/>
    </x:row>
    <x:row r="300">
      <x:c r="B300" s="8"/>
      <x:c r="E300" s="8"/>
      <x:c r="H300" s="8"/>
      <x:c r="I300" s="8"/>
      <x:c r="J300" s="8"/>
      <x:c r="K300" s="8"/>
      <x:c r="L300" s="8"/>
      <x:c r="Q300" s="9"/>
      <x:c r="R300" s="8"/>
    </x:row>
    <x:row r="301">
      <x:c r="B301" s="8"/>
      <x:c r="E301" s="8"/>
      <x:c r="H301" s="8"/>
      <x:c r="I301" s="8"/>
      <x:c r="J301" s="8"/>
      <x:c r="K301" s="8"/>
      <x:c r="L301" s="8"/>
      <x:c r="Q301" s="9"/>
      <x:c r="R301" s="8"/>
    </x:row>
    <x:row r="302">
      <x:c r="B302" s="8"/>
      <x:c r="E302" s="8"/>
      <x:c r="H302" s="8"/>
      <x:c r="I302" s="8"/>
      <x:c r="J302" s="8"/>
      <x:c r="K302" s="8"/>
      <x:c r="L302" s="8"/>
      <x:c r="Q302" s="9"/>
      <x:c r="R302" s="8"/>
    </x:row>
    <x:row r="303">
      <x:c r="B303" s="8"/>
      <x:c r="E303" s="8"/>
      <x:c r="H303" s="8"/>
      <x:c r="I303" s="8"/>
      <x:c r="J303" s="8"/>
      <x:c r="K303" s="8"/>
      <x:c r="L303" s="8"/>
      <x:c r="Q303" s="9"/>
      <x:c r="R303" s="8"/>
    </x:row>
    <x:row r="304">
      <x:c r="B304" s="8"/>
      <x:c r="E304" s="8"/>
      <x:c r="H304" s="8"/>
      <x:c r="I304" s="8"/>
      <x:c r="J304" s="8"/>
      <x:c r="K304" s="8"/>
      <x:c r="L304" s="8"/>
      <x:c r="Q304" s="9"/>
      <x:c r="R304" s="8"/>
    </x:row>
    <x:row r="305">
      <x:c r="B305" s="8"/>
      <x:c r="E305" s="8"/>
      <x:c r="H305" s="8"/>
      <x:c r="I305" s="8"/>
      <x:c r="J305" s="8"/>
      <x:c r="K305" s="8"/>
      <x:c r="L305" s="8"/>
      <x:c r="Q305" s="9"/>
      <x:c r="R305" s="8"/>
    </x:row>
    <x:row r="306">
      <x:c r="B306" s="8"/>
      <x:c r="E306" s="8"/>
      <x:c r="H306" s="8"/>
      <x:c r="I306" s="8"/>
      <x:c r="J306" s="8"/>
      <x:c r="K306" s="8"/>
      <x:c r="L306" s="8"/>
      <x:c r="Q306" s="9"/>
      <x:c r="R306" s="8"/>
    </x:row>
    <x:row r="307">
      <x:c r="B307" s="8"/>
      <x:c r="E307" s="8"/>
      <x:c r="H307" s="8"/>
      <x:c r="I307" s="8"/>
      <x:c r="J307" s="8"/>
      <x:c r="K307" s="8"/>
      <x:c r="L307" s="8"/>
      <x:c r="Q307" s="9"/>
      <x:c r="R307" s="8"/>
    </x:row>
    <x:row r="308">
      <x:c r="B308" s="8"/>
      <x:c r="E308" s="8"/>
      <x:c r="H308" s="8"/>
      <x:c r="I308" s="8"/>
      <x:c r="J308" s="8"/>
      <x:c r="K308" s="8"/>
      <x:c r="L308" s="8"/>
      <x:c r="Q308" s="9"/>
      <x:c r="R308" s="8"/>
    </x:row>
    <x:row r="309">
      <x:c r="B309" s="8"/>
      <x:c r="E309" s="8"/>
      <x:c r="H309" s="8"/>
      <x:c r="I309" s="8"/>
      <x:c r="J309" s="8"/>
      <x:c r="K309" s="8"/>
      <x:c r="L309" s="8"/>
      <x:c r="Q309" s="9"/>
      <x:c r="R309" s="8"/>
    </x:row>
    <x:row r="310">
      <x:c r="B310" s="8"/>
      <x:c r="E310" s="8"/>
      <x:c r="H310" s="8"/>
      <x:c r="I310" s="8"/>
      <x:c r="J310" s="8"/>
      <x:c r="K310" s="8"/>
      <x:c r="L310" s="8"/>
      <x:c r="Q310" s="9"/>
      <x:c r="R310" s="8"/>
    </x:row>
    <x:row r="311">
      <x:c r="B311" s="8"/>
      <x:c r="E311" s="8"/>
      <x:c r="H311" s="8"/>
      <x:c r="I311" s="8"/>
      <x:c r="J311" s="8"/>
      <x:c r="K311" s="8"/>
      <x:c r="L311" s="8"/>
      <x:c r="Q311" s="9"/>
      <x:c r="R311" s="8"/>
    </x:row>
    <x:row r="312">
      <x:c r="B312" s="8"/>
      <x:c r="E312" s="8"/>
      <x:c r="H312" s="8"/>
      <x:c r="I312" s="8"/>
      <x:c r="J312" s="8"/>
      <x:c r="K312" s="8"/>
      <x:c r="L312" s="8"/>
      <x:c r="Q312" s="9"/>
      <x:c r="R312" s="8"/>
    </x:row>
    <x:row r="313">
      <x:c r="B313" s="8"/>
      <x:c r="E313" s="8"/>
      <x:c r="H313" s="8"/>
      <x:c r="I313" s="8"/>
      <x:c r="J313" s="8"/>
      <x:c r="K313" s="8"/>
      <x:c r="L313" s="8"/>
      <x:c r="Q313" s="9"/>
      <x:c r="R313" s="8"/>
    </x:row>
    <x:row r="314">
      <x:c r="B314" s="8"/>
      <x:c r="E314" s="8"/>
      <x:c r="H314" s="8"/>
      <x:c r="I314" s="8"/>
      <x:c r="J314" s="8"/>
      <x:c r="K314" s="8"/>
      <x:c r="L314" s="8"/>
      <x:c r="Q314" s="9"/>
      <x:c r="R314" s="8"/>
    </x:row>
    <x:row r="315">
      <x:c r="B315" s="8"/>
      <x:c r="E315" s="8"/>
      <x:c r="H315" s="8"/>
      <x:c r="I315" s="8"/>
      <x:c r="J315" s="8"/>
      <x:c r="K315" s="8"/>
      <x:c r="L315" s="8"/>
      <x:c r="Q315" s="9"/>
      <x:c r="R315" s="8"/>
    </x:row>
    <x:row r="316">
      <x:c r="B316" s="8"/>
      <x:c r="E316" s="8"/>
      <x:c r="H316" s="8"/>
      <x:c r="I316" s="8"/>
      <x:c r="J316" s="8"/>
      <x:c r="K316" s="8"/>
      <x:c r="L316" s="8"/>
      <x:c r="Q316" s="9"/>
      <x:c r="R316" s="8"/>
    </x:row>
    <x:row r="317">
      <x:c r="B317" s="8"/>
      <x:c r="E317" s="8"/>
      <x:c r="H317" s="8"/>
      <x:c r="I317" s="8"/>
      <x:c r="J317" s="8"/>
      <x:c r="K317" s="8"/>
      <x:c r="L317" s="8"/>
      <x:c r="Q317" s="9"/>
      <x:c r="R317" s="8"/>
    </x:row>
    <x:row r="318">
      <x:c r="B318" s="8"/>
      <x:c r="E318" s="8"/>
      <x:c r="H318" s="8"/>
      <x:c r="I318" s="8"/>
      <x:c r="J318" s="8"/>
      <x:c r="K318" s="8"/>
      <x:c r="L318" s="8"/>
      <x:c r="Q318" s="9"/>
      <x:c r="R318" s="8"/>
    </x:row>
    <x:row r="319">
      <x:c r="B319" s="8"/>
      <x:c r="E319" s="8"/>
      <x:c r="H319" s="8"/>
      <x:c r="I319" s="8"/>
      <x:c r="J319" s="8"/>
      <x:c r="K319" s="8"/>
      <x:c r="L319" s="8"/>
      <x:c r="Q319" s="9"/>
      <x:c r="R319" s="8"/>
    </x:row>
    <x:row r="320">
      <x:c r="B320" s="8"/>
      <x:c r="E320" s="8"/>
      <x:c r="H320" s="8"/>
      <x:c r="I320" s="8"/>
      <x:c r="J320" s="8"/>
      <x:c r="K320" s="8"/>
      <x:c r="L320" s="8"/>
      <x:c r="Q320" s="9"/>
      <x:c r="R320" s="8"/>
    </x:row>
    <x:row r="321">
      <x:c r="B321" s="8"/>
      <x:c r="E321" s="8"/>
      <x:c r="H321" s="8"/>
      <x:c r="I321" s="8"/>
      <x:c r="J321" s="8"/>
      <x:c r="K321" s="8"/>
      <x:c r="L321" s="8"/>
      <x:c r="Q321" s="9"/>
      <x:c r="R321" s="8"/>
    </x:row>
    <x:row r="322">
      <x:c r="B322" s="8"/>
      <x:c r="E322" s="8"/>
      <x:c r="H322" s="8"/>
      <x:c r="I322" s="8"/>
      <x:c r="J322" s="8"/>
      <x:c r="K322" s="8"/>
      <x:c r="L322" s="8"/>
      <x:c r="Q322" s="9"/>
      <x:c r="R322" s="8"/>
    </x:row>
    <x:row r="323">
      <x:c r="B323" s="8"/>
      <x:c r="E323" s="8"/>
      <x:c r="H323" s="8"/>
      <x:c r="I323" s="8"/>
      <x:c r="J323" s="8"/>
      <x:c r="K323" s="8"/>
      <x:c r="L323" s="8"/>
      <x:c r="Q323" s="9"/>
      <x:c r="R323" s="8"/>
    </x:row>
    <x:row r="324">
      <x:c r="B324" s="8"/>
      <x:c r="E324" s="8"/>
      <x:c r="H324" s="8"/>
      <x:c r="I324" s="8"/>
      <x:c r="J324" s="8"/>
      <x:c r="K324" s="8"/>
      <x:c r="L324" s="8"/>
      <x:c r="Q324" s="9"/>
      <x:c r="R324" s="8"/>
    </x:row>
    <x:row r="325">
      <x:c r="B325" s="8"/>
      <x:c r="E325" s="8"/>
      <x:c r="H325" s="8"/>
      <x:c r="I325" s="8"/>
      <x:c r="J325" s="8"/>
      <x:c r="K325" s="8"/>
      <x:c r="L325" s="8"/>
      <x:c r="Q325" s="9"/>
      <x:c r="R325" s="8"/>
    </x:row>
    <x:row r="326">
      <x:c r="B326" s="8"/>
      <x:c r="E326" s="8"/>
      <x:c r="H326" s="8"/>
      <x:c r="I326" s="8"/>
      <x:c r="J326" s="8"/>
      <x:c r="K326" s="8"/>
      <x:c r="L326" s="8"/>
      <x:c r="Q326" s="9"/>
      <x:c r="R326" s="8"/>
    </x:row>
    <x:row r="327">
      <x:c r="B327" s="8"/>
      <x:c r="E327" s="8"/>
      <x:c r="H327" s="8"/>
      <x:c r="I327" s="8"/>
      <x:c r="J327" s="8"/>
      <x:c r="K327" s="8"/>
      <x:c r="L327" s="8"/>
      <x:c r="Q327" s="9"/>
      <x:c r="R327" s="8"/>
    </x:row>
    <x:row r="328">
      <x:c r="B328" s="8"/>
      <x:c r="E328" s="8"/>
      <x:c r="H328" s="8"/>
      <x:c r="I328" s="8"/>
      <x:c r="J328" s="8"/>
      <x:c r="K328" s="8"/>
      <x:c r="L328" s="8"/>
      <x:c r="Q328" s="9"/>
      <x:c r="R328" s="8"/>
    </x:row>
    <x:row r="329">
      <x:c r="B329" s="8"/>
      <x:c r="E329" s="8"/>
      <x:c r="H329" s="8"/>
      <x:c r="I329" s="8"/>
      <x:c r="J329" s="8"/>
      <x:c r="K329" s="8"/>
      <x:c r="L329" s="8"/>
      <x:c r="Q329" s="9"/>
      <x:c r="R329" s="8"/>
    </x:row>
    <x:row r="330">
      <x:c r="B330" s="8"/>
      <x:c r="E330" s="8"/>
      <x:c r="H330" s="8"/>
      <x:c r="I330" s="8"/>
      <x:c r="J330" s="8"/>
      <x:c r="K330" s="8"/>
      <x:c r="L330" s="8"/>
      <x:c r="Q330" s="9"/>
      <x:c r="R330" s="8"/>
    </x:row>
    <x:row r="331">
      <x:c r="B331" s="8"/>
      <x:c r="E331" s="8"/>
      <x:c r="H331" s="8"/>
      <x:c r="I331" s="8"/>
      <x:c r="J331" s="8"/>
      <x:c r="K331" s="8"/>
      <x:c r="L331" s="8"/>
      <x:c r="Q331" s="9"/>
      <x:c r="R331" s="8"/>
    </x:row>
    <x:row r="332">
      <x:c r="B332" s="8"/>
      <x:c r="E332" s="8"/>
      <x:c r="H332" s="8"/>
      <x:c r="I332" s="8"/>
      <x:c r="J332" s="8"/>
      <x:c r="K332" s="8"/>
      <x:c r="L332" s="8"/>
      <x:c r="Q332" s="9"/>
      <x:c r="R332" s="8"/>
    </x:row>
    <x:row r="333">
      <x:c r="B333" s="8"/>
      <x:c r="E333" s="8"/>
      <x:c r="H333" s="8"/>
      <x:c r="I333" s="8"/>
      <x:c r="J333" s="8"/>
      <x:c r="K333" s="8"/>
      <x:c r="L333" s="8"/>
      <x:c r="Q333" s="9"/>
      <x:c r="R333" s="8"/>
    </x:row>
    <x:row r="334">
      <x:c r="B334" s="8"/>
      <x:c r="E334" s="8"/>
      <x:c r="H334" s="8"/>
      <x:c r="I334" s="8"/>
      <x:c r="J334" s="8"/>
      <x:c r="K334" s="8"/>
      <x:c r="L334" s="8"/>
      <x:c r="Q334" s="9"/>
      <x:c r="R334" s="8"/>
    </x:row>
    <x:row r="335">
      <x:c r="B335" s="8"/>
      <x:c r="E335" s="8"/>
      <x:c r="H335" s="8"/>
      <x:c r="I335" s="8"/>
      <x:c r="J335" s="8"/>
      <x:c r="K335" s="8"/>
      <x:c r="L335" s="8"/>
      <x:c r="Q335" s="9"/>
      <x:c r="R335" s="8"/>
    </x:row>
    <x:row r="336">
      <x:c r="B336" s="8"/>
      <x:c r="E336" s="8"/>
      <x:c r="H336" s="8"/>
      <x:c r="I336" s="8"/>
      <x:c r="J336" s="8"/>
      <x:c r="K336" s="8"/>
      <x:c r="L336" s="8"/>
      <x:c r="Q336" s="9"/>
      <x:c r="R336" s="8"/>
    </x:row>
    <x:row r="337">
      <x:c r="B337" s="8"/>
      <x:c r="E337" s="8"/>
      <x:c r="H337" s="8"/>
      <x:c r="I337" s="8"/>
      <x:c r="J337" s="8"/>
      <x:c r="K337" s="8"/>
      <x:c r="L337" s="8"/>
      <x:c r="Q337" s="9"/>
      <x:c r="R337" s="8"/>
    </x:row>
    <x:row r="338">
      <x:c r="B338" s="8"/>
      <x:c r="E338" s="8"/>
      <x:c r="H338" s="8"/>
      <x:c r="I338" s="8"/>
      <x:c r="J338" s="8"/>
      <x:c r="K338" s="8"/>
      <x:c r="L338" s="8"/>
      <x:c r="Q338" s="9"/>
      <x:c r="R338" s="8"/>
    </x:row>
    <x:row r="339">
      <x:c r="B339" s="8"/>
      <x:c r="E339" s="8"/>
      <x:c r="H339" s="8"/>
      <x:c r="I339" s="8"/>
      <x:c r="J339" s="8"/>
      <x:c r="K339" s="8"/>
      <x:c r="L339" s="8"/>
      <x:c r="Q339" s="9"/>
      <x:c r="R339" s="8"/>
    </x:row>
    <x:row r="340">
      <x:c r="B340" s="8"/>
      <x:c r="E340" s="8"/>
      <x:c r="H340" s="8"/>
      <x:c r="I340" s="8"/>
      <x:c r="J340" s="8"/>
      <x:c r="K340" s="8"/>
      <x:c r="L340" s="8"/>
      <x:c r="Q340" s="9"/>
      <x:c r="R340" s="8"/>
    </x:row>
    <x:row r="341">
      <x:c r="B341" s="8"/>
      <x:c r="E341" s="8"/>
      <x:c r="H341" s="8"/>
      <x:c r="I341" s="8"/>
      <x:c r="J341" s="8"/>
      <x:c r="K341" s="8"/>
      <x:c r="L341" s="8"/>
      <x:c r="Q341" s="9"/>
      <x:c r="R341" s="8"/>
    </x:row>
    <x:row r="342">
      <x:c r="B342" s="8"/>
      <x:c r="E342" s="8"/>
      <x:c r="H342" s="8"/>
      <x:c r="I342" s="8"/>
      <x:c r="J342" s="8"/>
      <x:c r="K342" s="8"/>
      <x:c r="L342" s="8"/>
      <x:c r="Q342" s="9"/>
      <x:c r="R342" s="8"/>
    </x:row>
    <x:row r="343">
      <x:c r="B343" s="8"/>
      <x:c r="E343" s="8"/>
      <x:c r="H343" s="8"/>
      <x:c r="I343" s="8"/>
      <x:c r="J343" s="8"/>
      <x:c r="K343" s="8"/>
      <x:c r="L343" s="8"/>
      <x:c r="Q343" s="9"/>
      <x:c r="R343" s="8"/>
    </x:row>
    <x:row r="344">
      <x:c r="B344" s="8"/>
      <x:c r="E344" s="8"/>
      <x:c r="H344" s="8"/>
      <x:c r="I344" s="8"/>
      <x:c r="J344" s="8"/>
      <x:c r="K344" s="8"/>
      <x:c r="L344" s="8"/>
      <x:c r="Q344" s="9"/>
      <x:c r="R344" s="8"/>
    </x:row>
    <x:row r="345">
      <x:c r="B345" s="8"/>
      <x:c r="E345" s="8"/>
      <x:c r="H345" s="8"/>
      <x:c r="I345" s="8"/>
      <x:c r="J345" s="8"/>
      <x:c r="K345" s="8"/>
      <x:c r="L345" s="8"/>
      <x:c r="Q345" s="9"/>
      <x:c r="R345" s="8"/>
    </x:row>
    <x:row r="346">
      <x:c r="B346" s="8"/>
      <x:c r="E346" s="8"/>
      <x:c r="H346" s="8"/>
      <x:c r="I346" s="8"/>
      <x:c r="J346" s="8"/>
      <x:c r="K346" s="8"/>
      <x:c r="L346" s="8"/>
      <x:c r="Q346" s="9"/>
      <x:c r="R346" s="8"/>
    </x:row>
    <x:row r="347">
      <x:c r="B347" s="8"/>
      <x:c r="E347" s="8"/>
      <x:c r="H347" s="8"/>
      <x:c r="I347" s="8"/>
      <x:c r="J347" s="8"/>
      <x:c r="K347" s="8"/>
      <x:c r="L347" s="8"/>
      <x:c r="Q347" s="9"/>
      <x:c r="R347" s="8"/>
    </x:row>
    <x:row r="348">
      <x:c r="B348" s="8"/>
      <x:c r="E348" s="8"/>
      <x:c r="H348" s="8"/>
      <x:c r="I348" s="8"/>
      <x:c r="J348" s="8"/>
      <x:c r="K348" s="8"/>
      <x:c r="L348" s="8"/>
      <x:c r="Q348" s="9"/>
      <x:c r="R348" s="8"/>
    </x:row>
    <x:row r="349">
      <x:c r="B349" s="8"/>
      <x:c r="E349" s="8"/>
      <x:c r="H349" s="8"/>
      <x:c r="I349" s="8"/>
      <x:c r="J349" s="8"/>
      <x:c r="K349" s="8"/>
      <x:c r="L349" s="8"/>
      <x:c r="Q349" s="9"/>
      <x:c r="R349" s="8"/>
    </x:row>
    <x:row r="350">
      <x:c r="B350" s="8"/>
      <x:c r="E350" s="8"/>
      <x:c r="H350" s="8"/>
      <x:c r="I350" s="8"/>
      <x:c r="J350" s="8"/>
      <x:c r="K350" s="8"/>
      <x:c r="L350" s="8"/>
      <x:c r="Q350" s="9"/>
      <x:c r="R350" s="8"/>
    </x:row>
    <x:row r="351">
      <x:c r="B351" s="8"/>
      <x:c r="E351" s="8"/>
      <x:c r="H351" s="8"/>
      <x:c r="I351" s="8"/>
      <x:c r="J351" s="8"/>
      <x:c r="K351" s="8"/>
      <x:c r="L351" s="8"/>
      <x:c r="Q351" s="9"/>
      <x:c r="R351" s="8"/>
    </x:row>
    <x:row r="352">
      <x:c r="B352" s="8"/>
      <x:c r="E352" s="8"/>
      <x:c r="H352" s="8"/>
      <x:c r="I352" s="8"/>
      <x:c r="J352" s="8"/>
      <x:c r="K352" s="8"/>
      <x:c r="L352" s="8"/>
      <x:c r="Q352" s="9"/>
      <x:c r="R352" s="8"/>
    </x:row>
    <x:row r="353">
      <x:c r="B353" s="8"/>
      <x:c r="E353" s="8"/>
      <x:c r="H353" s="8"/>
      <x:c r="I353" s="8"/>
      <x:c r="J353" s="8"/>
      <x:c r="K353" s="8"/>
      <x:c r="L353" s="8"/>
      <x:c r="Q353" s="9"/>
      <x:c r="R353" s="8"/>
    </x:row>
    <x:row r="354">
      <x:c r="B354" s="8"/>
      <x:c r="E354" s="8"/>
      <x:c r="H354" s="8"/>
      <x:c r="I354" s="8"/>
      <x:c r="J354" s="8"/>
      <x:c r="K354" s="8"/>
      <x:c r="L354" s="8"/>
      <x:c r="Q354" s="9"/>
      <x:c r="R354" s="8"/>
    </x:row>
    <x:row r="355">
      <x:c r="B355" s="8"/>
      <x:c r="E355" s="8"/>
      <x:c r="H355" s="8"/>
      <x:c r="I355" s="8"/>
      <x:c r="J355" s="8"/>
      <x:c r="K355" s="8"/>
      <x:c r="L355" s="8"/>
      <x:c r="Q355" s="9"/>
      <x:c r="R355" s="8"/>
    </x:row>
    <x:row r="356">
      <x:c r="B356" s="8"/>
      <x:c r="E356" s="8"/>
      <x:c r="H356" s="8"/>
      <x:c r="I356" s="8"/>
      <x:c r="J356" s="8"/>
      <x:c r="K356" s="8"/>
      <x:c r="L356" s="8"/>
      <x:c r="Q356" s="9"/>
      <x:c r="R356" s="8"/>
    </x:row>
    <x:row r="357">
      <x:c r="B357" s="8"/>
      <x:c r="E357" s="8"/>
      <x:c r="H357" s="8"/>
      <x:c r="I357" s="8"/>
      <x:c r="J357" s="8"/>
      <x:c r="K357" s="8"/>
      <x:c r="L357" s="8"/>
      <x:c r="Q357" s="9"/>
      <x:c r="R357" s="8"/>
    </x:row>
    <x:row r="358">
      <x:c r="B358" s="8"/>
      <x:c r="E358" s="8"/>
      <x:c r="H358" s="8"/>
      <x:c r="I358" s="8"/>
      <x:c r="J358" s="8"/>
      <x:c r="K358" s="8"/>
      <x:c r="L358" s="8"/>
      <x:c r="Q358" s="9"/>
      <x:c r="R358" s="8"/>
    </x:row>
    <x:row r="359">
      <x:c r="B359" s="8"/>
      <x:c r="E359" s="8"/>
      <x:c r="H359" s="8"/>
      <x:c r="I359" s="8"/>
      <x:c r="J359" s="8"/>
      <x:c r="K359" s="8"/>
      <x:c r="L359" s="8"/>
      <x:c r="Q359" s="9"/>
      <x:c r="R359" s="8"/>
    </x:row>
    <x:row r="360">
      <x:c r="B360" s="8"/>
      <x:c r="E360" s="8"/>
      <x:c r="H360" s="8"/>
      <x:c r="I360" s="8"/>
      <x:c r="J360" s="8"/>
      <x:c r="K360" s="8"/>
      <x:c r="L360" s="8"/>
      <x:c r="Q360" s="9"/>
      <x:c r="R360" s="8"/>
    </x:row>
    <x:row r="361">
      <x:c r="B361" s="8"/>
      <x:c r="E361" s="8"/>
      <x:c r="H361" s="8"/>
      <x:c r="I361" s="8"/>
      <x:c r="J361" s="8"/>
      <x:c r="K361" s="8"/>
      <x:c r="L361" s="8"/>
      <x:c r="Q361" s="9"/>
      <x:c r="R361" s="8"/>
    </x:row>
    <x:row r="362">
      <x:c r="B362" s="8"/>
      <x:c r="E362" s="8"/>
      <x:c r="H362" s="8"/>
      <x:c r="I362" s="8"/>
      <x:c r="J362" s="8"/>
      <x:c r="K362" s="8"/>
      <x:c r="L362" s="8"/>
      <x:c r="Q362" s="9"/>
      <x:c r="R362" s="8"/>
    </x:row>
    <x:row r="363">
      <x:c r="B363" s="8"/>
      <x:c r="E363" s="8"/>
      <x:c r="H363" s="8"/>
      <x:c r="I363" s="8"/>
      <x:c r="J363" s="8"/>
      <x:c r="K363" s="8"/>
      <x:c r="L363" s="8"/>
      <x:c r="Q363" s="9"/>
      <x:c r="R363" s="8"/>
    </x:row>
    <x:row r="364">
      <x:c r="B364" s="8"/>
      <x:c r="E364" s="8"/>
      <x:c r="H364" s="8"/>
      <x:c r="I364" s="8"/>
      <x:c r="J364" s="8"/>
      <x:c r="K364" s="8"/>
      <x:c r="L364" s="8"/>
      <x:c r="Q364" s="9"/>
      <x:c r="R364" s="8"/>
    </x:row>
    <x:row r="365">
      <x:c r="B365" s="8"/>
      <x:c r="E365" s="8"/>
      <x:c r="H365" s="8"/>
      <x:c r="I365" s="8"/>
      <x:c r="J365" s="8"/>
      <x:c r="K365" s="8"/>
      <x:c r="L365" s="8"/>
      <x:c r="Q365" s="9"/>
      <x:c r="R365" s="8"/>
    </x:row>
    <x:row r="366">
      <x:c r="B366" s="8"/>
      <x:c r="E366" s="8"/>
      <x:c r="H366" s="8"/>
      <x:c r="I366" s="8"/>
      <x:c r="J366" s="8"/>
      <x:c r="K366" s="8"/>
      <x:c r="L366" s="8"/>
      <x:c r="Q366" s="9"/>
      <x:c r="R366" s="8"/>
    </x:row>
    <x:row r="367">
      <x:c r="B367" s="8"/>
      <x:c r="E367" s="8"/>
      <x:c r="H367" s="8"/>
      <x:c r="I367" s="8"/>
      <x:c r="J367" s="8"/>
      <x:c r="K367" s="8"/>
      <x:c r="L367" s="8"/>
      <x:c r="Q367" s="9"/>
      <x:c r="R367" s="8"/>
    </x:row>
    <x:row r="368">
      <x:c r="B368" s="8"/>
      <x:c r="E368" s="8"/>
      <x:c r="H368" s="8"/>
      <x:c r="I368" s="8"/>
      <x:c r="J368" s="8"/>
      <x:c r="K368" s="8"/>
      <x:c r="L368" s="8"/>
      <x:c r="Q368" s="9"/>
      <x:c r="R368" s="8"/>
    </x:row>
    <x:row r="369">
      <x:c r="B369" s="8"/>
      <x:c r="E369" s="8"/>
      <x:c r="H369" s="8"/>
      <x:c r="I369" s="8"/>
      <x:c r="J369" s="8"/>
      <x:c r="K369" s="8"/>
      <x:c r="L369" s="8"/>
      <x:c r="Q369" s="9"/>
      <x:c r="R369" s="8"/>
    </x:row>
    <x:row r="370">
      <x:c r="B370" s="8"/>
      <x:c r="E370" s="8"/>
      <x:c r="H370" s="8"/>
      <x:c r="I370" s="8"/>
      <x:c r="J370" s="8"/>
      <x:c r="K370" s="8"/>
      <x:c r="L370" s="8"/>
      <x:c r="Q370" s="9"/>
      <x:c r="R370" s="8"/>
    </x:row>
    <x:row r="371">
      <x:c r="B371" s="8"/>
      <x:c r="E371" s="8"/>
      <x:c r="H371" s="8"/>
      <x:c r="I371" s="8"/>
      <x:c r="J371" s="8"/>
      <x:c r="K371" s="8"/>
      <x:c r="L371" s="8"/>
      <x:c r="Q371" s="9"/>
      <x:c r="R371" s="8"/>
    </x:row>
    <x:row r="372">
      <x:c r="B372" s="8"/>
      <x:c r="E372" s="8"/>
      <x:c r="H372" s="8"/>
      <x:c r="I372" s="8"/>
      <x:c r="J372" s="8"/>
      <x:c r="K372" s="8"/>
      <x:c r="L372" s="8"/>
      <x:c r="Q372" s="9"/>
      <x:c r="R372" s="8"/>
    </x:row>
    <x:row r="373">
      <x:c r="B373" s="8"/>
      <x:c r="E373" s="8"/>
      <x:c r="H373" s="8"/>
      <x:c r="I373" s="8"/>
      <x:c r="J373" s="8"/>
      <x:c r="K373" s="8"/>
      <x:c r="L373" s="8"/>
      <x:c r="Q373" s="9"/>
      <x:c r="R373" s="8"/>
    </x:row>
    <x:row r="374">
      <x:c r="B374" s="8"/>
      <x:c r="E374" s="8"/>
      <x:c r="H374" s="8"/>
      <x:c r="I374" s="8"/>
      <x:c r="J374" s="8"/>
      <x:c r="K374" s="8"/>
      <x:c r="L374" s="8"/>
      <x:c r="Q374" s="9"/>
      <x:c r="R374" s="8"/>
    </x:row>
    <x:row r="375">
      <x:c r="B375" s="8"/>
      <x:c r="E375" s="8"/>
      <x:c r="H375" s="8"/>
      <x:c r="I375" s="8"/>
      <x:c r="J375" s="8"/>
      <x:c r="K375" s="8"/>
      <x:c r="L375" s="8"/>
      <x:c r="Q375" s="9"/>
      <x:c r="R375" s="8"/>
    </x:row>
    <x:row r="376">
      <x:c r="B376" s="8"/>
      <x:c r="E376" s="8"/>
      <x:c r="H376" s="8"/>
      <x:c r="I376" s="8"/>
      <x:c r="J376" s="8"/>
      <x:c r="K376" s="8"/>
      <x:c r="L376" s="8"/>
      <x:c r="Q376" s="9"/>
      <x:c r="R376" s="8"/>
    </x:row>
    <x:row r="377">
      <x:c r="B377" s="8"/>
      <x:c r="E377" s="8"/>
      <x:c r="H377" s="8"/>
      <x:c r="I377" s="8"/>
      <x:c r="J377" s="8"/>
      <x:c r="K377" s="8"/>
      <x:c r="L377" s="8"/>
      <x:c r="Q377" s="9"/>
      <x:c r="R377" s="8"/>
    </x:row>
    <x:row r="378">
      <x:c r="B378" s="8"/>
      <x:c r="E378" s="8"/>
      <x:c r="H378" s="8"/>
      <x:c r="I378" s="8"/>
      <x:c r="J378" s="8"/>
      <x:c r="K378" s="8"/>
      <x:c r="L378" s="8"/>
      <x:c r="Q378" s="9"/>
      <x:c r="R378" s="8"/>
    </x:row>
    <x:row r="379">
      <x:c r="B379" s="8"/>
      <x:c r="E379" s="8"/>
      <x:c r="H379" s="8"/>
      <x:c r="I379" s="8"/>
      <x:c r="J379" s="8"/>
      <x:c r="K379" s="8"/>
      <x:c r="L379" s="8"/>
      <x:c r="Q379" s="9"/>
      <x:c r="R379" s="8"/>
    </x:row>
    <x:row r="380">
      <x:c r="B380" s="8"/>
      <x:c r="E380" s="8"/>
      <x:c r="H380" s="8"/>
      <x:c r="I380" s="8"/>
      <x:c r="J380" s="8"/>
      <x:c r="K380" s="8"/>
      <x:c r="L380" s="8"/>
      <x:c r="Q380" s="9"/>
      <x:c r="R380" s="8"/>
    </x:row>
    <x:row r="381">
      <x:c r="B381" s="8"/>
      <x:c r="E381" s="8"/>
      <x:c r="H381" s="8"/>
      <x:c r="I381" s="8"/>
      <x:c r="J381" s="8"/>
      <x:c r="K381" s="8"/>
      <x:c r="L381" s="8"/>
      <x:c r="Q381" s="9"/>
      <x:c r="R381" s="8"/>
    </x:row>
    <x:row r="382">
      <x:c r="B382" s="8"/>
      <x:c r="E382" s="8"/>
      <x:c r="H382" s="8"/>
      <x:c r="I382" s="8"/>
      <x:c r="J382" s="8"/>
      <x:c r="K382" s="8"/>
      <x:c r="L382" s="8"/>
      <x:c r="Q382" s="9"/>
      <x:c r="R382" s="8"/>
    </x:row>
    <x:row r="383">
      <x:c r="B383" s="8"/>
      <x:c r="E383" s="8"/>
      <x:c r="H383" s="8"/>
      <x:c r="I383" s="8"/>
      <x:c r="J383" s="8"/>
      <x:c r="K383" s="8"/>
      <x:c r="L383" s="8"/>
      <x:c r="Q383" s="9"/>
      <x:c r="R383" s="8"/>
    </x:row>
    <x:row r="384">
      <x:c r="B384" s="8"/>
      <x:c r="E384" s="8"/>
      <x:c r="H384" s="8"/>
      <x:c r="I384" s="8"/>
      <x:c r="J384" s="8"/>
      <x:c r="K384" s="8"/>
      <x:c r="L384" s="8"/>
      <x:c r="Q384" s="9"/>
      <x:c r="R384" s="8"/>
    </x:row>
    <x:row r="385">
      <x:c r="B385" s="8"/>
      <x:c r="E385" s="8"/>
      <x:c r="H385" s="8"/>
      <x:c r="I385" s="8"/>
      <x:c r="J385" s="8"/>
      <x:c r="K385" s="8"/>
      <x:c r="L385" s="8"/>
      <x:c r="Q385" s="9"/>
      <x:c r="R385" s="8"/>
    </x:row>
    <x:row r="386">
      <x:c r="B386" s="8"/>
      <x:c r="E386" s="8"/>
      <x:c r="H386" s="8"/>
      <x:c r="I386" s="8"/>
      <x:c r="J386" s="8"/>
      <x:c r="K386" s="8"/>
      <x:c r="L386" s="8"/>
      <x:c r="Q386" s="9"/>
      <x:c r="R386" s="8"/>
    </x:row>
    <x:row r="387">
      <x:c r="B387" s="8"/>
      <x:c r="E387" s="8"/>
      <x:c r="H387" s="8"/>
      <x:c r="I387" s="8"/>
      <x:c r="J387" s="8"/>
      <x:c r="K387" s="8"/>
      <x:c r="L387" s="8"/>
      <x:c r="Q387" s="9"/>
      <x:c r="R387" s="8"/>
    </x:row>
    <x:row r="388">
      <x:c r="B388" s="8"/>
      <x:c r="E388" s="8"/>
      <x:c r="H388" s="8"/>
      <x:c r="I388" s="8"/>
      <x:c r="J388" s="8"/>
      <x:c r="K388" s="8"/>
      <x:c r="L388" s="8"/>
      <x:c r="Q388" s="9"/>
      <x:c r="R388" s="8"/>
    </x:row>
    <x:row r="389">
      <x:c r="B389" s="8"/>
      <x:c r="E389" s="8"/>
      <x:c r="H389" s="8"/>
      <x:c r="I389" s="8"/>
      <x:c r="J389" s="8"/>
      <x:c r="K389" s="8"/>
      <x:c r="L389" s="8"/>
      <x:c r="Q389" s="9"/>
      <x:c r="R389" s="8"/>
    </x:row>
    <x:row r="390">
      <x:c r="B390" s="8"/>
      <x:c r="E390" s="8"/>
      <x:c r="H390" s="8"/>
      <x:c r="I390" s="8"/>
      <x:c r="J390" s="8"/>
      <x:c r="K390" s="8"/>
      <x:c r="L390" s="8"/>
      <x:c r="Q390" s="9"/>
      <x:c r="R390" s="8"/>
    </x:row>
    <x:row r="391">
      <x:c r="B391" s="8"/>
      <x:c r="E391" s="8"/>
      <x:c r="H391" s="8"/>
      <x:c r="I391" s="8"/>
      <x:c r="J391" s="8"/>
      <x:c r="K391" s="8"/>
      <x:c r="L391" s="8"/>
      <x:c r="Q391" s="9"/>
      <x:c r="R391" s="8"/>
    </x:row>
    <x:row r="392">
      <x:c r="B392" s="8"/>
      <x:c r="E392" s="8"/>
      <x:c r="H392" s="8"/>
      <x:c r="I392" s="8"/>
      <x:c r="J392" s="8"/>
      <x:c r="K392" s="8"/>
      <x:c r="L392" s="8"/>
      <x:c r="Q392" s="9"/>
      <x:c r="R392" s="8"/>
    </x:row>
    <x:row r="393">
      <x:c r="B393" s="8"/>
      <x:c r="E393" s="8"/>
      <x:c r="H393" s="8"/>
      <x:c r="I393" s="8"/>
      <x:c r="J393" s="8"/>
      <x:c r="K393" s="8"/>
      <x:c r="L393" s="8"/>
      <x:c r="Q393" s="9"/>
      <x:c r="R393" s="8"/>
    </x:row>
    <x:row r="394">
      <x:c r="B394" s="8"/>
      <x:c r="E394" s="8"/>
      <x:c r="H394" s="8"/>
      <x:c r="I394" s="8"/>
      <x:c r="J394" s="8"/>
      <x:c r="K394" s="8"/>
      <x:c r="L394" s="8"/>
      <x:c r="Q394" s="9"/>
      <x:c r="R394" s="8"/>
    </x:row>
    <x:row r="395">
      <x:c r="B395" s="8"/>
      <x:c r="E395" s="8"/>
      <x:c r="H395" s="8"/>
      <x:c r="I395" s="8"/>
      <x:c r="J395" s="8"/>
      <x:c r="K395" s="8"/>
      <x:c r="L395" s="8"/>
      <x:c r="Q395" s="9"/>
      <x:c r="R395" s="8"/>
    </x:row>
    <x:row r="396">
      <x:c r="B396" s="8"/>
      <x:c r="E396" s="8"/>
      <x:c r="H396" s="8"/>
      <x:c r="I396" s="8"/>
      <x:c r="J396" s="8"/>
      <x:c r="K396" s="8"/>
      <x:c r="L396" s="8"/>
      <x:c r="Q396" s="9"/>
      <x:c r="R396" s="8"/>
    </x:row>
    <x:row r="397">
      <x:c r="B397" s="8"/>
      <x:c r="E397" s="8"/>
      <x:c r="H397" s="8"/>
      <x:c r="I397" s="8"/>
      <x:c r="J397" s="8"/>
      <x:c r="K397" s="8"/>
      <x:c r="L397" s="8"/>
      <x:c r="Q397" s="9"/>
      <x:c r="R397" s="8"/>
    </x:row>
    <x:row r="398">
      <x:c r="B398" s="8"/>
      <x:c r="E398" s="8"/>
      <x:c r="H398" s="8"/>
      <x:c r="I398" s="8"/>
      <x:c r="J398" s="8"/>
      <x:c r="K398" s="8"/>
      <x:c r="L398" s="8"/>
      <x:c r="Q398" s="9"/>
      <x:c r="R398" s="8"/>
    </x:row>
    <x:row r="399">
      <x:c r="B399" s="8"/>
      <x:c r="E399" s="8"/>
      <x:c r="H399" s="8"/>
      <x:c r="I399" s="8"/>
      <x:c r="J399" s="8"/>
      <x:c r="K399" s="8"/>
      <x:c r="L399" s="8"/>
      <x:c r="Q399" s="9"/>
      <x:c r="R399" s="8"/>
    </x:row>
    <x:row r="400">
      <x:c r="B400" s="8"/>
      <x:c r="E400" s="8"/>
      <x:c r="H400" s="8"/>
      <x:c r="I400" s="8"/>
      <x:c r="J400" s="8"/>
      <x:c r="K400" s="8"/>
      <x:c r="L400" s="8"/>
      <x:c r="Q400" s="9"/>
      <x:c r="R400" s="8"/>
    </x:row>
    <x:row r="401">
      <x:c r="B401" s="8"/>
      <x:c r="E401" s="8"/>
      <x:c r="H401" s="8"/>
      <x:c r="I401" s="8"/>
      <x:c r="J401" s="8"/>
      <x:c r="K401" s="8"/>
      <x:c r="L401" s="8"/>
      <x:c r="Q401" s="9"/>
      <x:c r="R401" s="8"/>
    </x:row>
    <x:row r="402">
      <x:c r="B402" s="8"/>
      <x:c r="E402" s="8"/>
      <x:c r="H402" s="8"/>
      <x:c r="I402" s="8"/>
      <x:c r="J402" s="8"/>
      <x:c r="K402" s="8"/>
      <x:c r="L402" s="8"/>
      <x:c r="Q402" s="9"/>
      <x:c r="R402" s="8"/>
    </x:row>
    <x:row r="403">
      <x:c r="B403" s="8"/>
      <x:c r="E403" s="8"/>
      <x:c r="H403" s="8"/>
      <x:c r="I403" s="8"/>
      <x:c r="J403" s="8"/>
      <x:c r="K403" s="8"/>
      <x:c r="L403" s="8"/>
      <x:c r="Q403" s="9"/>
      <x:c r="R403" s="8"/>
    </x:row>
    <x:row r="404">
      <x:c r="B404" s="8"/>
      <x:c r="E404" s="8"/>
      <x:c r="H404" s="8"/>
      <x:c r="I404" s="8"/>
      <x:c r="J404" s="8"/>
      <x:c r="K404" s="8"/>
      <x:c r="L404" s="8"/>
      <x:c r="Q404" s="9"/>
      <x:c r="R404" s="8"/>
    </x:row>
    <x:row r="405">
      <x:c r="B405" s="8"/>
      <x:c r="E405" s="8"/>
      <x:c r="H405" s="8"/>
      <x:c r="I405" s="8"/>
      <x:c r="J405" s="8"/>
      <x:c r="K405" s="8"/>
      <x:c r="L405" s="8"/>
      <x:c r="Q405" s="9"/>
      <x:c r="R405" s="8"/>
    </x:row>
    <x:row r="406">
      <x:c r="B406" s="8"/>
      <x:c r="E406" s="8"/>
      <x:c r="H406" s="8"/>
      <x:c r="I406" s="8"/>
      <x:c r="J406" s="8"/>
      <x:c r="K406" s="8"/>
      <x:c r="L406" s="8"/>
      <x:c r="Q406" s="9"/>
      <x:c r="R406" s="8"/>
    </x:row>
    <x:row r="407">
      <x:c r="B407" s="8"/>
      <x:c r="E407" s="8"/>
      <x:c r="H407" s="8"/>
      <x:c r="I407" s="8"/>
      <x:c r="J407" s="8"/>
      <x:c r="K407" s="8"/>
      <x:c r="L407" s="8"/>
      <x:c r="Q407" s="9"/>
      <x:c r="R407" s="8"/>
    </x:row>
    <x:row r="408">
      <x:c r="B408" s="8"/>
      <x:c r="E408" s="8"/>
      <x:c r="H408" s="8"/>
      <x:c r="I408" s="8"/>
      <x:c r="J408" s="8"/>
      <x:c r="K408" s="8"/>
      <x:c r="L408" s="8"/>
      <x:c r="Q408" s="9"/>
      <x:c r="R408" s="8"/>
    </x:row>
    <x:row r="409">
      <x:c r="B409" s="8"/>
      <x:c r="E409" s="8"/>
      <x:c r="H409" s="8"/>
      <x:c r="I409" s="8"/>
      <x:c r="J409" s="8"/>
      <x:c r="K409" s="8"/>
      <x:c r="L409" s="8"/>
      <x:c r="Q409" s="9"/>
      <x:c r="R409" s="8"/>
    </x:row>
    <x:row r="410">
      <x:c r="B410" s="8"/>
      <x:c r="E410" s="8"/>
      <x:c r="H410" s="8"/>
      <x:c r="I410" s="8"/>
      <x:c r="J410" s="8"/>
      <x:c r="K410" s="8"/>
      <x:c r="L410" s="8"/>
      <x:c r="Q410" s="9"/>
      <x:c r="R410" s="8"/>
    </x:row>
    <x:row r="411">
      <x:c r="B411" s="8"/>
      <x:c r="E411" s="8"/>
      <x:c r="H411" s="8"/>
      <x:c r="I411" s="8"/>
      <x:c r="J411" s="8"/>
      <x:c r="K411" s="8"/>
      <x:c r="L411" s="8"/>
      <x:c r="Q411" s="9"/>
      <x:c r="R411" s="8"/>
    </x:row>
    <x:row r="412">
      <x:c r="B412" s="8"/>
      <x:c r="E412" s="8"/>
      <x:c r="H412" s="8"/>
      <x:c r="I412" s="8"/>
      <x:c r="J412" s="8"/>
      <x:c r="K412" s="8"/>
      <x:c r="L412" s="8"/>
      <x:c r="Q412" s="9"/>
      <x:c r="R412" s="8"/>
    </x:row>
    <x:row r="413">
      <x:c r="B413" s="8"/>
      <x:c r="E413" s="8"/>
      <x:c r="H413" s="8"/>
      <x:c r="I413" s="8"/>
      <x:c r="J413" s="8"/>
      <x:c r="K413" s="8"/>
      <x:c r="L413" s="8"/>
      <x:c r="Q413" s="9"/>
      <x:c r="R413" s="8"/>
    </x:row>
    <x:row r="414">
      <x:c r="B414" s="8"/>
      <x:c r="E414" s="8"/>
      <x:c r="H414" s="8"/>
      <x:c r="I414" s="8"/>
      <x:c r="J414" s="8"/>
      <x:c r="K414" s="8"/>
      <x:c r="L414" s="8"/>
      <x:c r="Q414" s="9"/>
      <x:c r="R414" s="8"/>
    </x:row>
    <x:row r="415">
      <x:c r="B415" s="8"/>
      <x:c r="E415" s="8"/>
      <x:c r="H415" s="8"/>
      <x:c r="I415" s="8"/>
      <x:c r="J415" s="8"/>
      <x:c r="K415" s="8"/>
      <x:c r="L415" s="8"/>
      <x:c r="Q415" s="9"/>
      <x:c r="R415" s="8"/>
    </x:row>
    <x:row r="416">
      <x:c r="B416" s="8"/>
      <x:c r="E416" s="8"/>
      <x:c r="H416" s="8"/>
      <x:c r="I416" s="8"/>
      <x:c r="J416" s="8"/>
      <x:c r="K416" s="8"/>
      <x:c r="L416" s="8"/>
      <x:c r="Q416" s="9"/>
      <x:c r="R416" s="8"/>
    </x:row>
    <x:row r="417">
      <x:c r="B417" s="8"/>
      <x:c r="E417" s="8"/>
      <x:c r="H417" s="8"/>
      <x:c r="I417" s="8"/>
      <x:c r="J417" s="8"/>
      <x:c r="K417" s="8"/>
      <x:c r="L417" s="8"/>
      <x:c r="Q417" s="9"/>
      <x:c r="R417" s="8"/>
    </x:row>
    <x:row r="418">
      <x:c r="B418" s="8"/>
      <x:c r="E418" s="8"/>
      <x:c r="H418" s="8"/>
      <x:c r="I418" s="8"/>
      <x:c r="J418" s="8"/>
      <x:c r="K418" s="8"/>
      <x:c r="L418" s="8"/>
      <x:c r="Q418" s="9"/>
      <x:c r="R418" s="8"/>
    </x:row>
    <x:row r="419">
      <x:c r="B419" s="8"/>
      <x:c r="E419" s="8"/>
      <x:c r="H419" s="8"/>
      <x:c r="I419" s="8"/>
      <x:c r="J419" s="8"/>
      <x:c r="K419" s="8"/>
      <x:c r="L419" s="8"/>
      <x:c r="Q419" s="9"/>
      <x:c r="R419" s="8"/>
    </x:row>
    <x:row r="420">
      <x:c r="B420" s="8"/>
      <x:c r="E420" s="8"/>
      <x:c r="H420" s="8"/>
      <x:c r="I420" s="8"/>
      <x:c r="J420" s="8"/>
      <x:c r="K420" s="8"/>
      <x:c r="L420" s="8"/>
      <x:c r="Q420" s="9"/>
      <x:c r="R420" s="8"/>
    </x:row>
    <x:row r="421">
      <x:c r="B421" s="8"/>
      <x:c r="E421" s="8"/>
      <x:c r="H421" s="8"/>
      <x:c r="I421" s="8"/>
      <x:c r="J421" s="8"/>
      <x:c r="K421" s="8"/>
      <x:c r="L421" s="8"/>
      <x:c r="Q421" s="9"/>
      <x:c r="R421" s="8"/>
    </x:row>
    <x:row r="422">
      <x:c r="B422" s="8"/>
      <x:c r="E422" s="8"/>
      <x:c r="H422" s="8"/>
      <x:c r="I422" s="8"/>
      <x:c r="J422" s="8"/>
      <x:c r="K422" s="8"/>
      <x:c r="L422" s="8"/>
      <x:c r="Q422" s="9"/>
      <x:c r="R422" s="8"/>
    </x:row>
    <x:row r="423">
      <x:c r="B423" s="8"/>
      <x:c r="E423" s="8"/>
      <x:c r="H423" s="8"/>
      <x:c r="I423" s="8"/>
      <x:c r="J423" s="8"/>
      <x:c r="K423" s="8"/>
      <x:c r="L423" s="8"/>
      <x:c r="Q423" s="9"/>
      <x:c r="R423" s="8"/>
    </x:row>
    <x:row r="424">
      <x:c r="B424" s="8"/>
      <x:c r="E424" s="8"/>
      <x:c r="H424" s="8"/>
      <x:c r="I424" s="8"/>
      <x:c r="J424" s="8"/>
      <x:c r="K424" s="8"/>
      <x:c r="L424" s="8"/>
      <x:c r="Q424" s="9"/>
      <x:c r="R424" s="8"/>
    </x:row>
    <x:row r="425">
      <x:c r="B425" s="8"/>
      <x:c r="E425" s="8"/>
      <x:c r="H425" s="8"/>
      <x:c r="I425" s="8"/>
      <x:c r="J425" s="8"/>
      <x:c r="K425" s="8"/>
      <x:c r="L425" s="8"/>
      <x:c r="Q425" s="9"/>
      <x:c r="R425" s="8"/>
    </x:row>
    <x:row r="426">
      <x:c r="B426" s="8"/>
      <x:c r="E426" s="8"/>
      <x:c r="H426" s="8"/>
      <x:c r="I426" s="8"/>
      <x:c r="J426" s="8"/>
      <x:c r="K426" s="8"/>
      <x:c r="L426" s="8"/>
      <x:c r="Q426" s="9"/>
      <x:c r="R426" s="8"/>
    </x:row>
    <x:row r="427">
      <x:c r="B427" s="8"/>
      <x:c r="E427" s="8"/>
      <x:c r="H427" s="8"/>
      <x:c r="I427" s="8"/>
      <x:c r="J427" s="8"/>
      <x:c r="K427" s="8"/>
      <x:c r="L427" s="8"/>
      <x:c r="Q427" s="9"/>
      <x:c r="R427" s="8"/>
    </x:row>
    <x:row r="428">
      <x:c r="B428" s="8"/>
      <x:c r="E428" s="8"/>
      <x:c r="H428" s="8"/>
      <x:c r="I428" s="8"/>
      <x:c r="J428" s="8"/>
      <x:c r="K428" s="8"/>
      <x:c r="L428" s="8"/>
      <x:c r="Q428" s="9"/>
      <x:c r="R428" s="8"/>
    </x:row>
    <x:row r="429">
      <x:c r="B429" s="8"/>
      <x:c r="E429" s="8"/>
      <x:c r="H429" s="8"/>
      <x:c r="I429" s="8"/>
      <x:c r="J429" s="8"/>
      <x:c r="K429" s="8"/>
      <x:c r="L429" s="8"/>
      <x:c r="Q429" s="9"/>
      <x:c r="R429" s="8"/>
    </x:row>
    <x:row r="430">
      <x:c r="B430" s="8"/>
      <x:c r="E430" s="8"/>
      <x:c r="H430" s="8"/>
      <x:c r="I430" s="8"/>
      <x:c r="J430" s="8"/>
      <x:c r="K430" s="8"/>
      <x:c r="L430" s="8"/>
      <x:c r="Q430" s="9"/>
      <x:c r="R430" s="8"/>
    </x:row>
    <x:row r="431">
      <x:c r="B431" s="8"/>
      <x:c r="E431" s="8"/>
      <x:c r="H431" s="8"/>
      <x:c r="I431" s="8"/>
      <x:c r="J431" s="8"/>
      <x:c r="K431" s="8"/>
      <x:c r="L431" s="8"/>
      <x:c r="Q431" s="9"/>
      <x:c r="R431" s="8"/>
    </x:row>
    <x:row r="432">
      <x:c r="B432" s="8"/>
      <x:c r="E432" s="8"/>
      <x:c r="H432" s="8"/>
      <x:c r="I432" s="8"/>
      <x:c r="J432" s="8"/>
      <x:c r="K432" s="8"/>
      <x:c r="L432" s="8"/>
      <x:c r="Q432" s="9"/>
      <x:c r="R432" s="8"/>
    </x:row>
    <x:row r="433">
      <x:c r="B433" s="8"/>
      <x:c r="E433" s="8"/>
      <x:c r="H433" s="8"/>
      <x:c r="I433" s="8"/>
      <x:c r="J433" s="8"/>
      <x:c r="K433" s="8"/>
      <x:c r="L433" s="8"/>
      <x:c r="Q433" s="9"/>
      <x:c r="R433" s="8"/>
    </x:row>
    <x:row r="434">
      <x:c r="B434" s="8"/>
      <x:c r="E434" s="8"/>
      <x:c r="H434" s="8"/>
      <x:c r="I434" s="8"/>
      <x:c r="J434" s="8"/>
      <x:c r="K434" s="8"/>
      <x:c r="L434" s="8"/>
      <x:c r="Q434" s="9"/>
      <x:c r="R434" s="8"/>
    </x:row>
    <x:row r="435">
      <x:c r="B435" s="8"/>
      <x:c r="E435" s="8"/>
      <x:c r="H435" s="8"/>
      <x:c r="I435" s="8"/>
      <x:c r="J435" s="8"/>
      <x:c r="K435" s="8"/>
      <x:c r="L435" s="8"/>
      <x:c r="Q435" s="9"/>
      <x:c r="R435" s="8"/>
    </x:row>
    <x:row r="436">
      <x:c r="B436" s="8"/>
      <x:c r="E436" s="8"/>
      <x:c r="H436" s="8"/>
      <x:c r="I436" s="8"/>
      <x:c r="J436" s="8"/>
      <x:c r="K436" s="8"/>
      <x:c r="L436" s="8"/>
      <x:c r="Q436" s="9"/>
      <x:c r="R436" s="8"/>
    </x:row>
    <x:row r="437">
      <x:c r="B437" s="8"/>
      <x:c r="E437" s="8"/>
      <x:c r="H437" s="8"/>
      <x:c r="I437" s="8"/>
      <x:c r="J437" s="8"/>
      <x:c r="K437" s="8"/>
      <x:c r="L437" s="8"/>
      <x:c r="Q437" s="9"/>
      <x:c r="R437" s="8"/>
    </x:row>
    <x:row r="438">
      <x:c r="B438" s="8"/>
      <x:c r="E438" s="8"/>
      <x:c r="H438" s="8"/>
      <x:c r="I438" s="8"/>
      <x:c r="J438" s="8"/>
      <x:c r="K438" s="8"/>
      <x:c r="L438" s="8"/>
      <x:c r="Q438" s="9"/>
      <x:c r="R438" s="8"/>
    </x:row>
    <x:row r="439">
      <x:c r="B439" s="8"/>
      <x:c r="E439" s="8"/>
      <x:c r="H439" s="8"/>
      <x:c r="I439" s="8"/>
      <x:c r="J439" s="8"/>
      <x:c r="K439" s="8"/>
      <x:c r="L439" s="8"/>
      <x:c r="Q439" s="9"/>
      <x:c r="R439" s="8"/>
    </x:row>
    <x:row r="440">
      <x:c r="B440" s="8"/>
      <x:c r="E440" s="8"/>
      <x:c r="H440" s="8"/>
      <x:c r="I440" s="8"/>
      <x:c r="J440" s="8"/>
      <x:c r="K440" s="8"/>
      <x:c r="L440" s="8"/>
      <x:c r="Q440" s="9"/>
      <x:c r="R440" s="8"/>
    </x:row>
    <x:row r="441">
      <x:c r="B441" s="8"/>
      <x:c r="E441" s="8"/>
      <x:c r="H441" s="8"/>
      <x:c r="I441" s="8"/>
      <x:c r="J441" s="8"/>
      <x:c r="K441" s="8"/>
      <x:c r="L441" s="8"/>
      <x:c r="Q441" s="9"/>
      <x:c r="R441" s="8"/>
    </x:row>
    <x:row r="442">
      <x:c r="B442" s="8"/>
      <x:c r="E442" s="8"/>
      <x:c r="H442" s="8"/>
      <x:c r="I442" s="8"/>
      <x:c r="J442" s="8"/>
      <x:c r="K442" s="8"/>
      <x:c r="L442" s="8"/>
      <x:c r="Q442" s="9"/>
      <x:c r="R442" s="8"/>
    </x:row>
    <x:row r="443">
      <x:c r="B443" s="8"/>
      <x:c r="E443" s="8"/>
      <x:c r="H443" s="8"/>
      <x:c r="I443" s="8"/>
      <x:c r="J443" s="8"/>
      <x:c r="K443" s="8"/>
      <x:c r="L443" s="8"/>
      <x:c r="Q443" s="9"/>
      <x:c r="R443" s="8"/>
    </x:row>
    <x:row r="444">
      <x:c r="B444" s="8"/>
      <x:c r="E444" s="8"/>
      <x:c r="H444" s="8"/>
      <x:c r="I444" s="8"/>
      <x:c r="J444" s="8"/>
      <x:c r="K444" s="8"/>
      <x:c r="L444" s="8"/>
      <x:c r="Q444" s="9"/>
      <x:c r="R444" s="8"/>
    </x:row>
    <x:row r="445">
      <x:c r="B445" s="8"/>
      <x:c r="E445" s="8"/>
      <x:c r="H445" s="8"/>
      <x:c r="I445" s="8"/>
      <x:c r="J445" s="8"/>
      <x:c r="K445" s="8"/>
      <x:c r="L445" s="8"/>
      <x:c r="Q445" s="9"/>
      <x:c r="R445" s="8"/>
    </x:row>
    <x:row r="446">
      <x:c r="B446" s="8"/>
      <x:c r="E446" s="8"/>
      <x:c r="H446" s="8"/>
      <x:c r="I446" s="8"/>
      <x:c r="J446" s="8"/>
      <x:c r="K446" s="8"/>
      <x:c r="L446" s="8"/>
      <x:c r="Q446" s="9"/>
      <x:c r="R446" s="8"/>
    </x:row>
    <x:row r="447">
      <x:c r="B447" s="8"/>
      <x:c r="E447" s="8"/>
      <x:c r="H447" s="8"/>
      <x:c r="I447" s="8"/>
      <x:c r="J447" s="8"/>
      <x:c r="K447" s="8"/>
      <x:c r="L447" s="8"/>
      <x:c r="Q447" s="9"/>
      <x:c r="R447" s="8"/>
    </x:row>
    <x:row r="448">
      <x:c r="B448" s="8"/>
      <x:c r="E448" s="8"/>
      <x:c r="H448" s="8"/>
      <x:c r="I448" s="8"/>
      <x:c r="J448" s="8"/>
      <x:c r="K448" s="8"/>
      <x:c r="L448" s="8"/>
      <x:c r="Q448" s="9"/>
      <x:c r="R448" s="8"/>
    </x:row>
    <x:row r="449">
      <x:c r="B449" s="8"/>
      <x:c r="E449" s="8"/>
      <x:c r="H449" s="8"/>
      <x:c r="I449" s="8"/>
      <x:c r="J449" s="8"/>
      <x:c r="K449" s="8"/>
      <x:c r="L449" s="8"/>
      <x:c r="Q449" s="9"/>
      <x:c r="R449" s="8"/>
    </x:row>
    <x:row r="450">
      <x:c r="B450" s="8"/>
      <x:c r="E450" s="8"/>
      <x:c r="H450" s="8"/>
      <x:c r="I450" s="8"/>
      <x:c r="J450" s="8"/>
      <x:c r="K450" s="8"/>
      <x:c r="L450" s="8"/>
      <x:c r="Q450" s="9"/>
      <x:c r="R450" s="8"/>
    </x:row>
    <x:row r="451">
      <x:c r="B451" s="8"/>
      <x:c r="E451" s="8"/>
      <x:c r="H451" s="8"/>
      <x:c r="I451" s="8"/>
      <x:c r="J451" s="8"/>
      <x:c r="K451" s="8"/>
      <x:c r="L451" s="8"/>
      <x:c r="Q451" s="9"/>
      <x:c r="R451" s="8"/>
    </x:row>
    <x:row r="452">
      <x:c r="B452" s="8"/>
      <x:c r="E452" s="8"/>
      <x:c r="H452" s="8"/>
      <x:c r="I452" s="8"/>
      <x:c r="J452" s="8"/>
      <x:c r="K452" s="8"/>
      <x:c r="L452" s="8"/>
      <x:c r="Q452" s="9"/>
      <x:c r="R452" s="8"/>
    </x:row>
    <x:row r="453">
      <x:c r="B453" s="8"/>
      <x:c r="E453" s="8"/>
      <x:c r="H453" s="8"/>
      <x:c r="I453" s="8"/>
      <x:c r="J453" s="8"/>
      <x:c r="K453" s="8"/>
      <x:c r="L453" s="8"/>
      <x:c r="Q453" s="9"/>
      <x:c r="R453" s="8"/>
    </x:row>
    <x:row r="454">
      <x:c r="B454" s="8"/>
      <x:c r="E454" s="8"/>
      <x:c r="H454" s="8"/>
      <x:c r="I454" s="8"/>
      <x:c r="J454" s="8"/>
      <x:c r="K454" s="8"/>
      <x:c r="L454" s="8"/>
      <x:c r="Q454" s="9"/>
      <x:c r="R454" s="8"/>
    </x:row>
    <x:row r="455">
      <x:c r="B455" s="8"/>
      <x:c r="E455" s="8"/>
      <x:c r="H455" s="8"/>
      <x:c r="I455" s="8"/>
      <x:c r="J455" s="8"/>
      <x:c r="K455" s="8"/>
      <x:c r="L455" s="8"/>
      <x:c r="Q455" s="9"/>
      <x:c r="R455" s="8"/>
    </x:row>
    <x:row r="456">
      <x:c r="B456" s="8"/>
      <x:c r="E456" s="8"/>
      <x:c r="H456" s="8"/>
      <x:c r="I456" s="8"/>
      <x:c r="J456" s="8"/>
      <x:c r="K456" s="8"/>
      <x:c r="L456" s="8"/>
      <x:c r="Q456" s="9"/>
      <x:c r="R456" s="8"/>
    </x:row>
    <x:row r="457">
      <x:c r="B457" s="8"/>
      <x:c r="E457" s="8"/>
      <x:c r="H457" s="8"/>
      <x:c r="I457" s="8"/>
      <x:c r="J457" s="8"/>
      <x:c r="K457" s="8"/>
      <x:c r="L457" s="8"/>
      <x:c r="Q457" s="9"/>
      <x:c r="R457" s="8"/>
    </x:row>
    <x:row r="458">
      <x:c r="B458" s="8"/>
      <x:c r="E458" s="8"/>
      <x:c r="H458" s="8"/>
      <x:c r="I458" s="8"/>
      <x:c r="J458" s="8"/>
      <x:c r="K458" s="8"/>
      <x:c r="L458" s="8"/>
      <x:c r="Q458" s="9"/>
      <x:c r="R458" s="8"/>
    </x:row>
    <x:row r="459">
      <x:c r="B459" s="8"/>
      <x:c r="E459" s="8"/>
      <x:c r="H459" s="8"/>
      <x:c r="I459" s="8"/>
      <x:c r="J459" s="8"/>
      <x:c r="K459" s="8"/>
      <x:c r="L459" s="8"/>
      <x:c r="Q459" s="9"/>
      <x:c r="R459" s="8"/>
    </x:row>
    <x:row r="460">
      <x:c r="B460" s="8"/>
      <x:c r="E460" s="8"/>
      <x:c r="H460" s="8"/>
      <x:c r="I460" s="8"/>
      <x:c r="J460" s="8"/>
      <x:c r="K460" s="8"/>
      <x:c r="L460" s="8"/>
      <x:c r="Q460" s="9"/>
      <x:c r="R460" s="8"/>
    </x:row>
    <x:row r="461">
      <x:c r="B461" s="8"/>
      <x:c r="E461" s="8"/>
      <x:c r="H461" s="8"/>
      <x:c r="I461" s="8"/>
      <x:c r="J461" s="8"/>
      <x:c r="K461" s="8"/>
      <x:c r="L461" s="8"/>
      <x:c r="Q461" s="9"/>
      <x:c r="R461" s="8"/>
    </x:row>
    <x:row r="462">
      <x:c r="B462" s="8"/>
      <x:c r="E462" s="8"/>
      <x:c r="H462" s="8"/>
      <x:c r="I462" s="8"/>
      <x:c r="J462" s="8"/>
      <x:c r="K462" s="8"/>
      <x:c r="L462" s="8"/>
      <x:c r="Q462" s="9"/>
      <x:c r="R462" s="8"/>
    </x:row>
    <x:row r="463">
      <x:c r="B463" s="8"/>
      <x:c r="E463" s="8"/>
      <x:c r="H463" s="8"/>
      <x:c r="I463" s="8"/>
      <x:c r="J463" s="8"/>
      <x:c r="K463" s="8"/>
      <x:c r="L463" s="8"/>
      <x:c r="Q463" s="9"/>
      <x:c r="R463" s="8"/>
    </x:row>
    <x:row r="464">
      <x:c r="B464" s="8"/>
      <x:c r="E464" s="8"/>
      <x:c r="H464" s="8"/>
      <x:c r="I464" s="8"/>
      <x:c r="J464" s="8"/>
      <x:c r="K464" s="8"/>
      <x:c r="L464" s="8"/>
      <x:c r="Q464" s="9"/>
      <x:c r="R464" s="8"/>
    </x:row>
    <x:row r="465">
      <x:c r="B465" s="8"/>
      <x:c r="E465" s="8"/>
      <x:c r="H465" s="8"/>
      <x:c r="I465" s="8"/>
      <x:c r="J465" s="8"/>
      <x:c r="K465" s="8"/>
      <x:c r="L465" s="8"/>
      <x:c r="Q465" s="9"/>
      <x:c r="R465" s="8"/>
    </x:row>
    <x:row r="466">
      <x:c r="B466" s="8"/>
      <x:c r="E466" s="8"/>
      <x:c r="H466" s="8"/>
      <x:c r="I466" s="8"/>
      <x:c r="J466" s="8"/>
      <x:c r="K466" s="8"/>
      <x:c r="L466" s="8"/>
      <x:c r="Q466" s="9"/>
      <x:c r="R466" s="8"/>
    </x:row>
    <x:row r="467">
      <x:c r="B467" s="8"/>
      <x:c r="E467" s="8"/>
      <x:c r="H467" s="8"/>
      <x:c r="I467" s="8"/>
      <x:c r="J467" s="8"/>
      <x:c r="K467" s="8"/>
      <x:c r="L467" s="8"/>
      <x:c r="Q467" s="9"/>
      <x:c r="R467" s="8"/>
    </x:row>
    <x:row r="468">
      <x:c r="B468" s="8"/>
      <x:c r="E468" s="8"/>
      <x:c r="H468" s="8"/>
      <x:c r="I468" s="8"/>
      <x:c r="J468" s="8"/>
      <x:c r="K468" s="8"/>
      <x:c r="L468" s="8"/>
      <x:c r="Q468" s="9"/>
      <x:c r="R468" s="8"/>
    </x:row>
    <x:row r="469">
      <x:c r="B469" s="8"/>
      <x:c r="E469" s="8"/>
      <x:c r="H469" s="8"/>
      <x:c r="I469" s="8"/>
      <x:c r="J469" s="8"/>
      <x:c r="K469" s="8"/>
      <x:c r="L469" s="8"/>
      <x:c r="Q469" s="9"/>
      <x:c r="R469" s="8"/>
    </x:row>
    <x:row r="470">
      <x:c r="B470" s="8"/>
      <x:c r="E470" s="8"/>
      <x:c r="H470" s="8"/>
      <x:c r="I470" s="8"/>
      <x:c r="J470" s="8"/>
      <x:c r="K470" s="8"/>
      <x:c r="L470" s="8"/>
      <x:c r="Q470" s="9"/>
      <x:c r="R470" s="8"/>
    </x:row>
    <x:row r="471">
      <x:c r="B471" s="8"/>
      <x:c r="E471" s="8"/>
      <x:c r="H471" s="8"/>
      <x:c r="I471" s="8"/>
      <x:c r="J471" s="8"/>
      <x:c r="K471" s="8"/>
      <x:c r="L471" s="8"/>
      <x:c r="Q471" s="9"/>
      <x:c r="R471" s="8"/>
    </x:row>
    <x:row r="472">
      <x:c r="B472" s="8"/>
      <x:c r="E472" s="8"/>
      <x:c r="H472" s="8"/>
      <x:c r="I472" s="8"/>
      <x:c r="J472" s="8"/>
      <x:c r="K472" s="8"/>
      <x:c r="L472" s="8"/>
      <x:c r="Q472" s="9"/>
      <x:c r="R472" s="8"/>
    </x:row>
    <x:row r="473">
      <x:c r="B473" s="8"/>
      <x:c r="E473" s="8"/>
      <x:c r="H473" s="8"/>
      <x:c r="I473" s="8"/>
      <x:c r="J473" s="8"/>
      <x:c r="K473" s="8"/>
      <x:c r="L473" s="8"/>
      <x:c r="Q473" s="9"/>
      <x:c r="R473" s="8"/>
    </x:row>
    <x:row r="474">
      <x:c r="B474" s="8"/>
      <x:c r="E474" s="8"/>
      <x:c r="H474" s="8"/>
      <x:c r="I474" s="8"/>
      <x:c r="J474" s="8"/>
      <x:c r="K474" s="8"/>
      <x:c r="L474" s="8"/>
      <x:c r="Q474" s="9"/>
      <x:c r="R474" s="8"/>
    </x:row>
    <x:row r="475">
      <x:c r="B475" s="8"/>
      <x:c r="E475" s="8"/>
      <x:c r="H475" s="8"/>
      <x:c r="I475" s="8"/>
      <x:c r="J475" s="8"/>
      <x:c r="K475" s="8"/>
      <x:c r="L475" s="8"/>
      <x:c r="Q475" s="9"/>
      <x:c r="R475" s="8"/>
    </x:row>
    <x:row r="476">
      <x:c r="B476" s="8"/>
      <x:c r="E476" s="8"/>
      <x:c r="H476" s="8"/>
      <x:c r="I476" s="8"/>
      <x:c r="J476" s="8"/>
      <x:c r="K476" s="8"/>
      <x:c r="L476" s="8"/>
      <x:c r="Q476" s="9"/>
      <x:c r="R476" s="8"/>
    </x:row>
    <x:row r="477">
      <x:c r="B477" s="8"/>
      <x:c r="E477" s="8"/>
      <x:c r="H477" s="8"/>
      <x:c r="I477" s="8"/>
      <x:c r="J477" s="8"/>
      <x:c r="K477" s="8"/>
      <x:c r="L477" s="8"/>
      <x:c r="Q477" s="9"/>
      <x:c r="R477" s="8"/>
    </x:row>
    <x:row r="478">
      <x:c r="B478" s="8"/>
      <x:c r="E478" s="8"/>
      <x:c r="H478" s="8"/>
      <x:c r="I478" s="8"/>
      <x:c r="J478" s="8"/>
      <x:c r="K478" s="8"/>
      <x:c r="L478" s="8"/>
      <x:c r="Q478" s="9"/>
      <x:c r="R478" s="8"/>
    </x:row>
    <x:row r="479">
      <x:c r="B479" s="8"/>
      <x:c r="E479" s="8"/>
      <x:c r="H479" s="8"/>
      <x:c r="I479" s="8"/>
      <x:c r="J479" s="8"/>
      <x:c r="K479" s="8"/>
      <x:c r="L479" s="8"/>
      <x:c r="Q479" s="9"/>
      <x:c r="R479" s="8"/>
    </x:row>
    <x:row r="480">
      <x:c r="B480" s="8"/>
      <x:c r="E480" s="8"/>
      <x:c r="H480" s="8"/>
      <x:c r="I480" s="8"/>
      <x:c r="J480" s="8"/>
      <x:c r="K480" s="8"/>
      <x:c r="L480" s="8"/>
      <x:c r="Q480" s="9"/>
      <x:c r="R480" s="8"/>
    </x:row>
    <x:row r="481">
      <x:c r="B481" s="8"/>
      <x:c r="E481" s="8"/>
      <x:c r="H481" s="8"/>
      <x:c r="I481" s="8"/>
      <x:c r="J481" s="8"/>
      <x:c r="K481" s="8"/>
      <x:c r="L481" s="8"/>
      <x:c r="Q481" s="9"/>
      <x:c r="R481" s="8"/>
    </x:row>
    <x:row r="482">
      <x:c r="B482" s="8"/>
      <x:c r="E482" s="8"/>
      <x:c r="H482" s="8"/>
      <x:c r="I482" s="8"/>
      <x:c r="J482" s="8"/>
      <x:c r="K482" s="8"/>
      <x:c r="L482" s="8"/>
      <x:c r="Q482" s="9"/>
      <x:c r="R482" s="8"/>
    </x:row>
    <x:row r="483">
      <x:c r="B483" s="8"/>
      <x:c r="E483" s="8"/>
      <x:c r="H483" s="8"/>
      <x:c r="I483" s="8"/>
      <x:c r="J483" s="8"/>
      <x:c r="K483" s="8"/>
      <x:c r="L483" s="8"/>
      <x:c r="Q483" s="9"/>
      <x:c r="R483" s="8"/>
    </x:row>
    <x:row r="484">
      <x:c r="B484" s="8"/>
      <x:c r="E484" s="8"/>
      <x:c r="H484" s="8"/>
      <x:c r="I484" s="8"/>
      <x:c r="J484" s="8"/>
      <x:c r="K484" s="8"/>
      <x:c r="L484" s="8"/>
      <x:c r="Q484" s="9"/>
      <x:c r="R484" s="8"/>
    </x:row>
    <x:row r="485">
      <x:c r="B485" s="8"/>
      <x:c r="E485" s="8"/>
      <x:c r="H485" s="8"/>
      <x:c r="I485" s="8"/>
      <x:c r="J485" s="8"/>
      <x:c r="K485" s="8"/>
      <x:c r="L485" s="8"/>
      <x:c r="Q485" s="9"/>
      <x:c r="R485" s="8"/>
    </x:row>
    <x:row r="486">
      <x:c r="B486" s="8"/>
      <x:c r="E486" s="8"/>
      <x:c r="H486" s="8"/>
      <x:c r="I486" s="8"/>
      <x:c r="J486" s="8"/>
      <x:c r="K486" s="8"/>
      <x:c r="L486" s="8"/>
      <x:c r="Q486" s="9"/>
      <x:c r="R486" s="8"/>
    </x:row>
    <x:row r="487">
      <x:c r="B487" s="8"/>
      <x:c r="E487" s="8"/>
      <x:c r="H487" s="8"/>
      <x:c r="I487" s="8"/>
      <x:c r="J487" s="8"/>
      <x:c r="K487" s="8"/>
      <x:c r="L487" s="8"/>
      <x:c r="Q487" s="9"/>
      <x:c r="R487" s="8"/>
    </x:row>
    <x:row r="488">
      <x:c r="B488" s="8"/>
      <x:c r="E488" s="8"/>
      <x:c r="H488" s="8"/>
      <x:c r="I488" s="8"/>
      <x:c r="J488" s="8"/>
      <x:c r="K488" s="8"/>
      <x:c r="L488" s="8"/>
      <x:c r="Q488" s="9"/>
      <x:c r="R488" s="8"/>
    </x:row>
    <x:row r="489">
      <x:c r="B489" s="8"/>
      <x:c r="E489" s="8"/>
      <x:c r="H489" s="8"/>
      <x:c r="I489" s="8"/>
      <x:c r="J489" s="8"/>
      <x:c r="K489" s="8"/>
      <x:c r="L489" s="8"/>
      <x:c r="Q489" s="9"/>
      <x:c r="R489" s="8"/>
    </x:row>
    <x:row r="490">
      <x:c r="B490" s="8"/>
      <x:c r="E490" s="8"/>
      <x:c r="H490" s="8"/>
      <x:c r="I490" s="8"/>
      <x:c r="J490" s="8"/>
      <x:c r="K490" s="8"/>
      <x:c r="L490" s="8"/>
      <x:c r="Q490" s="9"/>
      <x:c r="R490" s="8"/>
    </x:row>
    <x:row r="491">
      <x:c r="B491" s="8"/>
      <x:c r="E491" s="8"/>
      <x:c r="H491" s="8"/>
      <x:c r="I491" s="8"/>
      <x:c r="J491" s="8"/>
      <x:c r="K491" s="8"/>
      <x:c r="L491" s="8"/>
      <x:c r="Q491" s="9"/>
      <x:c r="R491" s="8"/>
    </x:row>
    <x:row r="492">
      <x:c r="B492" s="8"/>
      <x:c r="E492" s="8"/>
      <x:c r="H492" s="8"/>
      <x:c r="I492" s="8"/>
      <x:c r="J492" s="8"/>
      <x:c r="K492" s="8"/>
      <x:c r="L492" s="8"/>
      <x:c r="Q492" s="9"/>
      <x:c r="R492" s="8"/>
    </x:row>
    <x:row r="493">
      <x:c r="B493" s="8"/>
      <x:c r="E493" s="8"/>
      <x:c r="H493" s="8"/>
      <x:c r="I493" s="8"/>
      <x:c r="J493" s="8"/>
      <x:c r="K493" s="8"/>
      <x:c r="L493" s="8"/>
      <x:c r="Q493" s="9"/>
      <x:c r="R493" s="8"/>
    </x:row>
    <x:row r="494">
      <x:c r="B494" s="8"/>
      <x:c r="E494" s="8"/>
      <x:c r="H494" s="8"/>
      <x:c r="I494" s="8"/>
      <x:c r="J494" s="8"/>
      <x:c r="K494" s="8"/>
      <x:c r="L494" s="8"/>
      <x:c r="Q494" s="9"/>
      <x:c r="R494" s="8"/>
    </x:row>
    <x:row r="495">
      <x:c r="B495" s="8"/>
      <x:c r="E495" s="8"/>
      <x:c r="H495" s="8"/>
      <x:c r="I495" s="8"/>
      <x:c r="J495" s="8"/>
      <x:c r="K495" s="8"/>
      <x:c r="L495" s="8"/>
      <x:c r="Q495" s="9"/>
      <x:c r="R495" s="8"/>
    </x:row>
    <x:row r="496">
      <x:c r="B496" s="8"/>
      <x:c r="E496" s="8"/>
      <x:c r="H496" s="8"/>
      <x:c r="I496" s="8"/>
      <x:c r="J496" s="8"/>
      <x:c r="K496" s="8"/>
      <x:c r="L496" s="8"/>
      <x:c r="Q496" s="9"/>
      <x:c r="R496" s="8"/>
    </x:row>
    <x:row r="497">
      <x:c r="B497" s="8"/>
      <x:c r="E497" s="8"/>
      <x:c r="H497" s="8"/>
      <x:c r="I497" s="8"/>
      <x:c r="J497" s="8"/>
      <x:c r="K497" s="8"/>
      <x:c r="L497" s="8"/>
      <x:c r="Q497" s="9"/>
      <x:c r="R497" s="8"/>
    </x:row>
    <x:row r="498">
      <x:c r="B498" s="8"/>
      <x:c r="E498" s="8"/>
      <x:c r="H498" s="8"/>
      <x:c r="I498" s="8"/>
      <x:c r="J498" s="8"/>
      <x:c r="K498" s="8"/>
      <x:c r="L498" s="8"/>
      <x:c r="Q498" s="9"/>
      <x:c r="R498" s="8"/>
    </x:row>
    <x:row r="499">
      <x:c r="B499" s="8"/>
      <x:c r="E499" s="8"/>
      <x:c r="H499" s="8"/>
      <x:c r="I499" s="8"/>
      <x:c r="J499" s="8"/>
      <x:c r="K499" s="8"/>
      <x:c r="L499" s="8"/>
      <x:c r="Q499" s="9"/>
      <x:c r="R499" s="8"/>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4.5"/>
  <x:cols>
    <x:col min="1" max="1" width="22" customWidth="1"/>
    <x:col min="2" max="4" width="10" customWidth="1"/>
    <x:col min="5" max="5" width="12" customWidth="1"/>
    <x:col min="7" max="7" width="26" customWidth="1"/>
    <x:col min="8" max="8" width="2" customWidth="1"/>
  </x:cols>
  <x:sheetData>
    <x:row r="1" ht="21">
      <x:c r="A1" s="10" t="s">
        <x:v>438</x:v>
      </x:c>
    </x:row>
    <x:row r="2">
      <x:c r="A2" s="11" t="s">
        <x:v>439</x:v>
      </x:c>
    </x:row>
    <x:row r="4" ht="15.5">
      <x:c r="A4" s="12" t="s">
        <x:v>440</x:v>
      </x:c>
      <x:c r="B4" s="13" t="n">
        <x:f>COUNTA('Test Cases'!$A$2:$A$75)</x:f>
        <x:v>74</x:v>
      </x:c>
      <x:c r="D4" s="14" t="s">
        <x:v>441</x:v>
      </x:c>
      <x:c r="E4" s="15"/>
      <x:c r="G4" s="16" t="s">
        <x:v>442</x:v>
      </x:c>
    </x:row>
    <x:row r="5" ht="87">
      <x:c r="A5" s="12" t="s">
        <x:v>443</x:v>
      </x:c>
      <x:c r="B5" s="13" t="n">
        <x:f>COUNTIF('Test Cases'!$M$2:$M$75,"Not Run")</x:f>
        <x:v>0</x:v>
      </x:c>
      <x:c r="D5" s="17" t="s">
        <x:v>21</x:v>
      </x:c>
      <x:c r="E5" s="17" t="n">
        <x:f>COUNTIF('Test Cases'!$D$2:$D$75,"UI")</x:f>
        <x:v>10</x:v>
      </x:c>
      <x:c r="G5" s="18" t="s">
        <x:v>444</x:v>
      </x:c>
    </x:row>
    <x:row r="6">
      <x:c r="A6" s="12" t="s">
        <x:v>445</x:v>
      </x:c>
      <x:c r="B6" s="13" t="n">
        <x:f>COUNTIF('Test Cases'!$M$2:$M$75,"Pass")</x:f>
        <x:v>36</x:v>
      </x:c>
      <x:c r="D6" s="17" t="s">
        <x:v>33</x:v>
      </x:c>
      <x:c r="E6" s="17" t="n">
        <x:f>COUNTIF('Test Cases'!$D$2:$D$75,"API")</x:f>
        <x:v>64</x:v>
      </x:c>
    </x:row>
    <x:row r="7">
      <x:c r="A7" s="12" t="s">
        <x:v>446</x:v>
      </x:c>
      <x:c r="B7" s="13" t="n">
        <x:f>COUNTIF('Test Cases'!$M$2:$M$75,"Fail")</x:f>
        <x:v>6</x:v>
      </x:c>
    </x:row>
    <x:row r="8">
      <x:c r="A8" s="12" t="s">
        <x:v>447</x:v>
      </x:c>
      <x:c r="B8" s="13" t="n">
        <x:f>COUNTIF('Test Cases'!$M$2:$M$75,"Blocked")</x:f>
        <x:v>32</x:v>
      </x:c>
    </x:row>
    <x:row r="9">
      <x:c r="A9" s="12" t="s">
        <x:v>448</x:v>
      </x:c>
      <x:c r="B9" s="19" t="n">
        <x:f>IF(B4=0,0,B6/B4)</x:f>
        <x:v>0.4864864864864865</x:v>
      </x:c>
    </x:row>
    <x:row r="12" ht="15.5">
      <x:c r="A12" s="16" t="s">
        <x:v>449</x:v>
      </x:c>
    </x:row>
    <x:row r="13">
      <x:c r="A13" s="20" t="s">
        <x:v>2</x:v>
      </x:c>
      <x:c r="B13" s="20" t="s">
        <x:v>450</x:v>
      </x:c>
      <x:c r="C13" s="20" t="s">
        <x:v>445</x:v>
      </x:c>
      <x:c r="D13" s="20" t="s">
        <x:v>446</x:v>
      </x:c>
    </x:row>
    <x:row r="14">
      <x:c r="A14" s="21" t="s">
        <x:v>178</x:v>
      </x:c>
      <x:c r="B14" s="21" t="n">
        <x:f>COUNTIF('Test Cases'!$C$2:$C$75,A14)</x:f>
        <x:v>2</x:v>
      </x:c>
      <x:c r="C14" s="21" t="n">
        <x:f>COUNTIFS('Test Cases'!$C$2:$C$75,A14,'Test Cases'!$M$2:$M$75,"Pass")</x:f>
        <x:v>2</x:v>
      </x:c>
      <x:c r="D14" s="21" t="n">
        <x:f>COUNTIFS('Test Cases'!$C$2:$C$75,A14,'Test Cases'!$M$2:$M$75,"Fail")</x:f>
        <x:v>0</x:v>
      </x:c>
    </x:row>
    <x:row r="15">
      <x:c r="A15" s="21" t="s">
        <x:v>209</x:v>
      </x:c>
      <x:c r="B15" s="21" t="n">
        <x:f>COUNTIF('Test Cases'!$C$2:$C$75,A15)</x:f>
        <x:v>4</x:v>
      </x:c>
      <x:c r="C15" s="21" t="n">
        <x:f>COUNTIFS('Test Cases'!$C$2:$C$75,A15,'Test Cases'!$M$2:$M$75,"Pass")</x:f>
        <x:v>0</x:v>
      </x:c>
      <x:c r="D15" s="21" t="n">
        <x:f>COUNTIFS('Test Cases'!$C$2:$C$75,A15,'Test Cases'!$M$2:$M$75,"Fail")</x:f>
        <x:v>0</x:v>
      </x:c>
    </x:row>
    <x:row r="16">
      <x:c r="A16" s="21" t="s">
        <x:v>251</x:v>
      </x:c>
      <x:c r="B16" s="21" t="n">
        <x:f>COUNTIF('Test Cases'!$C$2:$C$75,A16)</x:f>
        <x:v>12</x:v>
      </x:c>
      <x:c r="C16" s="21" t="n">
        <x:f>COUNTIFS('Test Cases'!$C$2:$C$75,A16,'Test Cases'!$M$2:$M$75,"Pass")</x:f>
        <x:v>0</x:v>
      </x:c>
      <x:c r="D16" s="21" t="n">
        <x:f>COUNTIFS('Test Cases'!$C$2:$C$75,A16,'Test Cases'!$M$2:$M$75,"Fail")</x:f>
        <x:v>0</x:v>
      </x:c>
    </x:row>
    <x:row r="17">
      <x:c r="A17" s="21" t="s">
        <x:v>234</x:v>
      </x:c>
      <x:c r="B17" s="21" t="n">
        <x:f>COUNTIF('Test Cases'!$C$2:$C$75,A17)</x:f>
        <x:v>3</x:v>
      </x:c>
      <x:c r="C17" s="21" t="n">
        <x:f>COUNTIFS('Test Cases'!$C$2:$C$75,A17,'Test Cases'!$M$2:$M$75,"Pass")</x:f>
        <x:v>0</x:v>
      </x:c>
      <x:c r="D17" s="21" t="n">
        <x:f>COUNTIFS('Test Cases'!$C$2:$C$75,A17,'Test Cases'!$M$2:$M$75,"Fail")</x:f>
        <x:v>0</x:v>
      </x:c>
    </x:row>
    <x:row r="18">
      <x:c r="A18" s="21" t="s">
        <x:v>73</x:v>
      </x:c>
      <x:c r="B18" s="21" t="n">
        <x:f>COUNTIF('Test Cases'!$C$2:$C$75,A18)</x:f>
        <x:v>1</x:v>
      </x:c>
      <x:c r="C18" s="21" t="n">
        <x:f>COUNTIFS('Test Cases'!$C$2:$C$75,A18,'Test Cases'!$M$2:$M$75,"Pass")</x:f>
        <x:v>1</x:v>
      </x:c>
      <x:c r="D18" s="21" t="n">
        <x:f>COUNTIFS('Test Cases'!$C$2:$C$75,A18,'Test Cases'!$M$2:$M$75,"Fail")</x:f>
        <x:v>0</x:v>
      </x:c>
    </x:row>
    <x:row r="19">
      <x:c r="A19" s="21" t="s">
        <x:v>189</x:v>
      </x:c>
      <x:c r="B19" s="21" t="n">
        <x:f>COUNTIF('Test Cases'!$C$2:$C$75,A19)</x:f>
        <x:v>3</x:v>
      </x:c>
      <x:c r="C19" s="21" t="n">
        <x:f>COUNTIFS('Test Cases'!$C$2:$C$75,A19,'Test Cases'!$M$2:$M$75,"Pass")</x:f>
        <x:v>0</x:v>
      </x:c>
      <x:c r="D19" s="21" t="n">
        <x:f>COUNTIFS('Test Cases'!$C$2:$C$75,A19,'Test Cases'!$M$2:$M$75,"Fail")</x:f>
        <x:v>0</x:v>
      </x:c>
    </x:row>
    <x:row r="20">
      <x:c r="A20" s="21" t="s">
        <x:v>52</x:v>
      </x:c>
      <x:c r="B20" s="21" t="n">
        <x:f>COUNTIF('Test Cases'!$C$2:$C$75,A20)</x:f>
        <x:v>7</x:v>
      </x:c>
      <x:c r="C20" s="21" t="n">
        <x:f>COUNTIFS('Test Cases'!$C$2:$C$75,A20,'Test Cases'!$M$2:$M$75,"Pass")</x:f>
        <x:v>7</x:v>
      </x:c>
      <x:c r="D20" s="21" t="n">
        <x:f>COUNTIFS('Test Cases'!$C$2:$C$75,A20,'Test Cases'!$M$2:$M$75,"Fail")</x:f>
        <x:v>0</x:v>
      </x:c>
    </x:row>
    <x:row r="21">
      <x:c r="A21" s="21" t="s">
        <x:v>60</x:v>
      </x:c>
      <x:c r="B21" s="21" t="n">
        <x:f>COUNTIF('Test Cases'!$C$2:$C$75,A21)</x:f>
        <x:v>1</x:v>
      </x:c>
      <x:c r="C21" s="21" t="n">
        <x:f>COUNTIFS('Test Cases'!$C$2:$C$75,A21,'Test Cases'!$M$2:$M$75,"Pass")</x:f>
        <x:v>1</x:v>
      </x:c>
      <x:c r="D21" s="21" t="n">
        <x:f>COUNTIFS('Test Cases'!$C$2:$C$75,A21,'Test Cases'!$M$2:$M$75,"Fail")</x:f>
        <x:v>0</x:v>
      </x:c>
    </x:row>
    <x:row r="22">
      <x:c r="A22" s="21" t="s">
        <x:v>116</x:v>
      </x:c>
      <x:c r="B22" s="21" t="n">
        <x:f>COUNTIF('Test Cases'!$C$2:$C$75,A22)</x:f>
        <x:v>5</x:v>
      </x:c>
      <x:c r="C22" s="21" t="n">
        <x:f>COUNTIFS('Test Cases'!$C$2:$C$75,A22,'Test Cases'!$M$2:$M$75,"Pass")</x:f>
        <x:v>4</x:v>
      </x:c>
      <x:c r="D22" s="21" t="n">
        <x:f>COUNTIFS('Test Cases'!$C$2:$C$75,A22,'Test Cases'!$M$2:$M$75,"Fail")</x:f>
        <x:v>1</x:v>
      </x:c>
    </x:row>
    <x:row r="23">
      <x:c r="A23" s="21" t="s">
        <x:v>67</x:v>
      </x:c>
      <x:c r="B23" s="21" t="n">
        <x:f>COUNTIF('Test Cases'!$C$2:$C$75,A23)</x:f>
        <x:v>3</x:v>
      </x:c>
      <x:c r="C23" s="21" t="n">
        <x:f>COUNTIFS('Test Cases'!$C$2:$C$75,A23,'Test Cases'!$M$2:$M$75,"Pass")</x:f>
        <x:v>3</x:v>
      </x:c>
      <x:c r="D23" s="21" t="n">
        <x:f>COUNTIFS('Test Cases'!$C$2:$C$75,A23,'Test Cases'!$M$2:$M$75,"Fail")</x:f>
        <x:v>0</x:v>
      </x:c>
    </x:row>
    <x:row r="24">
      <x:c r="A24" s="21" t="s">
        <x:v>20</x:v>
      </x:c>
      <x:c r="B24" s="21" t="n">
        <x:f>COUNTIF('Test Cases'!$C$2:$C$75,A24)</x:f>
        <x:v>4</x:v>
      </x:c>
      <x:c r="C24" s="21" t="n">
        <x:f>COUNTIFS('Test Cases'!$C$2:$C$75,A24,'Test Cases'!$M$2:$M$75,"Pass")</x:f>
        <x:v>4</x:v>
      </x:c>
      <x:c r="D24" s="21" t="n">
        <x:f>COUNTIFS('Test Cases'!$C$2:$C$75,A24,'Test Cases'!$M$2:$M$75,"Fail")</x:f>
        <x:v>0</x:v>
      </x:c>
    </x:row>
    <x:row r="25">
      <x:c r="A25" s="21" t="s">
        <x:v>136</x:v>
      </x:c>
      <x:c r="B25" s="21" t="n">
        <x:f>COUNTIF('Test Cases'!$C$2:$C$75,A25)</x:f>
        <x:v>9</x:v>
      </x:c>
      <x:c r="C25" s="21" t="n">
        <x:f>COUNTIFS('Test Cases'!$C$2:$C$75,A25,'Test Cases'!$M$2:$M$75,"Pass")</x:f>
        <x:v>8</x:v>
      </x:c>
      <x:c r="D25" s="21" t="n">
        <x:f>COUNTIFS('Test Cases'!$C$2:$C$75,A25,'Test Cases'!$M$2:$M$75,"Fail")</x:f>
        <x:v>1</x:v>
      </x:c>
    </x:row>
  </x:sheetData>
  <x:pageMargins left="0.7" right="0.7" top="0.75" bottom="0.75" header="0.3" footer="0.3"/>
</x:worksheet>
</file>

<file path=xl/worksheets/sheet3.xml><?xml version="1.0" encoding="utf-8"?>
<x:worksheet xmlns:x="http://schemas.openxmlformats.org/spreadsheetml/2006/main">
  <x:sheetFormatPr defaultRowHeight="14.5"/>
  <x:sheetData>
    <x:row r="1">
      <x:c r="A1" s="22" t="s">
        <x:v>12</x:v>
      </x:c>
      <x:c r="B1" t="s">
        <x:v>443</x:v>
      </x:c>
      <x:c r="C1" t="s">
        <x:v>445</x:v>
      </x:c>
      <x:c r="D1" t="s">
        <x:v>446</x:v>
      </x:c>
      <x:c r="E1" t="s">
        <x:v>447</x:v>
      </x:c>
    </x:row>
    <x:row r="2">
      <x:c r="A2" s="22" t="s">
        <x:v>13</x:v>
      </x:c>
      <x:c r="B2" t="s">
        <x:v>56</x:v>
      </x:c>
      <x:c r="C2" t="s">
        <x:v>29</x:v>
      </x:c>
      <x:c r="D2" t="s">
        <x:v>451</x:v>
      </x:c>
    </x:row>
    <x:row r="3">
      <x:c r="A3" s="22" t="s">
        <x:v>14</x:v>
      </x:c>
      <x:c r="B3" t="s">
        <x:v>397</x:v>
      </x:c>
      <x:c r="C3" t="s">
        <x:v>57</x:v>
      </x:c>
      <x:c r="D3" t="s">
        <x:v>30</x:v>
      </x:c>
      <x:c r="E3" t="s">
        <x:v>452</x:v>
      </x:c>
    </x:row>
    <x:row r="4">
      <x:c r="A4" s="22" t="s">
        <x:v>3</x:v>
      </x:c>
      <x:c r="B4" t="s">
        <x:v>21</x:v>
      </x:c>
      <x:c r="C4" t="s">
        <x:v>33</x:v>
      </x:c>
    </x:row>
    <x:row r="5">
      <x:c r="A5" s="22" t="s">
        <x:v>453</x:v>
      </x:c>
      <x:c r="B5" t="s">
        <x:v>454</x:v>
      </x:c>
      <x:c r="C5" t="s">
        <x:v>455</x:v>
      </x:c>
      <x:c r="D5" t="s">
        <x:v>432</x:v>
      </x:c>
      <x:c r="E5" t="s">
        <x:v>456</x:v>
      </x:c>
    </x:row>
    <x:row r="6">
      <x:c r="A6" s="22" t="s">
        <x:v>457</x:v>
      </x:c>
      <x:c r="B6" t="s">
        <x:v>24</x:v>
      </x:c>
      <x:c r="C6" t="s">
        <x:v>34</x:v>
      </x:c>
      <x:c r="D6" t="s">
        <x:v>191</x:v>
      </x:c>
    </x:row>
    <x:row r="7">
      <x:c r="A7" s="22" t="s">
        <x:v>5</x:v>
      </x:c>
      <x:c r="B7" t="s">
        <x:v>23</x:v>
      </x:c>
      <x:c r="C7" t="s">
        <x:v>80</x:v>
      </x:c>
      <x:c r="D7" t="s">
        <x:v>227</x:v>
      </x:c>
      <x:c r="E7" t="s">
        <x:v>458</x:v>
      </x:c>
    </x:row>
  </x:sheetData>
  <x:pageMargins left="0.7" right="0.7" top="0.75" bottom="0.75" header="0.3" footer="0.3"/>
</x:worksheet>
</file>